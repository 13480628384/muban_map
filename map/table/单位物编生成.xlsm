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711741DA-7E24-4C8F-A6DC-EAB94562F71E}" xr6:coauthVersionLast="40" xr6:coauthVersionMax="40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<sst xmlns="http://schemas.openxmlformats.org/spreadsheetml/2006/main" count="741" uniqueCount="460">
  <si>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</si>
  <si>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</si>
  <si>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</si>
  <si>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</si>
  <si>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</si>
  <si>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</si>
  <si>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</si>
  <si>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</si>
  <si>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</si>
  <si>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</si>
  <si>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</si>
  <si>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</si>
  <si>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</si>
  <si>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</si>
  <si>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</si>
  <si>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</si>
  <si>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</si>
  <si>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</si>
  <si>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</si>
  <si>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</si>
  <si>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</si>
  <si>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</si>
  <si>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</si>
  <si>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</si>
  <si>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</si>
  <si>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</si>
  <si>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</si>
  <si>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</si>
  <si>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</si>
  <si>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</si>
  <si>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</si>
  <si>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</si>
  <si>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</si>
  <si>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</si>
  <si>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</si>
  <si>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</si>
  <si>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</si>
  <si>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</si>
  <si>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</si>
  <si>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</si>
  <si>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</si>
  <si>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</si>
  <si>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</si>
  <si>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</si>
  <si>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</si>
  <si>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</si>
  <si>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</si>
  <si>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</si>
  <si>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</si>
  <si>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</si>
  <si>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</si>
  <si>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</si>
  <si>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</si>
  <si>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</si>
  <si>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</si>
  <si>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</si>
  <si>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</si>
  <si>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</si>
  <si>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</si>
  <si>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</si>
  <si>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</si>
  <si>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</si>
  <si>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</si>
  <si>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</si>
  <si>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</si>
  <si>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</si>
  <si>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</si>
  <si>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</si>
  <si>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</si>
  <si>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</si>
  <si>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</si>
  <si>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</si>
  <si>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</si>
  <si>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</si>
  <si>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</si>
  <si>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</si>
  <si>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</si>
  <si>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</si>
  <si>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</si>
  <si>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</si>
  <si>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</si>
  <si>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</si>
  <si>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</si>
  <si>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</si>
  <si>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</si>
  <si>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</si>
  <si>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</si>
  <si>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</si>
  <si>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</si>
  <si>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</si>
  <si>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</si>
  <si>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</si>
  <si>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</si>
  <si>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</si>
  <si>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</si>
  <si>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</si>
  <si>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</si>
  <si>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</si>
  <si>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</si>
  <si>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</si>
  <si>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</si>
  <si>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</si>
  <si>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</si>
  <si>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</si>
  <si>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</si>
  <si>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</si>
  <si>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</si>
  <si>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</si>
  <si>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</si>
  <si>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</si>
  <si>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</si>
  <si>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</si>
  <si>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</si>
  <si>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</si>
  <si>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</si>
  <si>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</si>
  <si>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</si>
  <si>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</si>
  <si>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</si>
  <si>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</si>
  <si>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</si>
  <si>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</si>
  <si>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</si>
  <si>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</si>
  <si>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</si>
  <si>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</si>
  <si>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</si>
  <si>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</si>
  <si>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</si>
  <si>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</si>
  <si>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</si>
  <si>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</si>
  <si>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</si>
  <si>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</si>
  <si>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</si>
  <si>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</si>
  <si>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</si>
  <si>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</si>
  <si>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</si>
  <si>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</si>
  <si>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</si>
  <si>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</si>
  <si>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</si>
  <si>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</si>
  <si>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</si>
  <si>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</si>
  <si>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</si>
  <si>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</si>
  <si>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</si>
  <si>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</si>
  <si>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</si>
  <si>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</si>
  <si>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</si>
  <si>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</si>
  <si>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</si>
  <si>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</si>
  <si>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</si>
  <si>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</si>
  <si>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</si>
  <si>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</si>
  <si>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</si>
  <si>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</si>
  <si>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</si>
  <si>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</si>
  <si>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</si>
  <si>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</si>
  <si>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</si>
  <si>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</si>
  <si>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</si>
  <si>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</si>
  <si>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</si>
  <si>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</si>
  <si>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</si>
  <si>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</si>
  <si>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</si>
  <si>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</si>
  <si>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</si>
  <si>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</si>
  <si>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</si>
  <si>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</si>
  <si>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</si>
  <si>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</si>
  <si>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</si>
  <si>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</si>
  <si>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</si>
  <si>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</si>
  <si>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</si>
  <si>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</si>
  <si>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</si>
  <si>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</si>
  <si>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</si>
  <si>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</si>
  <si>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</si>
  <si>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</si>
  <si>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</si>
  <si>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</si>
  <si>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</si>
  <si>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</si>
  <si>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</si>
  <si>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</si>
  <si>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</si>
  <si>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</si>
  <si>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</si>
  <si>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</si>
  <si>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</si>
  <si>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</si>
  <si>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</si>
  <si>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</si>
  <si>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</si>
  <si>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</si>
  <si>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</si>
  <si>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</si>
  <si>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</si>
  <si>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</si>
  <si>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</si>
  <si>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</si>
  <si>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</si>
  <si>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</si>
  <si>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</si>
  <si>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</si>
  <si>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</si>
  <si>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</si>
  <si>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</si>
  <si>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</si>
  <si>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</si>
  <si>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</si>
  <si>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</si>
  <si>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</si>
  <si>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</si>
  <si>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</si>
  <si>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</si>
  <si>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</si>
  <si>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</si>
  <si>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</si>
  <si>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</si>
  <si>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</si>
  <si>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</si>
  <si>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</si>
  <si>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</si>
  <si>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</si>
  <si>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</si>
  <si>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</si>
  <si>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</si>
  <si>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</si>
  <si>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</si>
  <si>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</si>
  <si>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</si>
  <si>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</si>
  <si>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</si>
  <si>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</si>
  <si>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</si>
  <si>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</si>
  <si>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</si>
  <si>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</si>
  <si>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</si>
  <si>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</si>
  <si>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</si>
  <si>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</si>
  <si>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</si>
  <si>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</si>
  <si>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</si>
  <si>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</si>
  <si>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</si>
  <si>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</si>
  <si>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</si>
  <si>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</si>
  <si>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</si>
  <si>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</si>
  <si>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</si>
  <si>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</si>
  <si>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</si>
  <si>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</si>
  <si>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</si>
  <si>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</si>
  <si>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</si>
  <si>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</si>
  <si>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</si>
  <si>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</si>
  <si>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</si>
  <si>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</si>
  <si>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</si>
  <si>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</si>
  <si>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</si>
  <si>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</si>
  <si>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</si>
  <si>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</si>
  <si>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</si>
  <si>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</si>
  <si>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</si>
  <si>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</si>
  <si>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</si>
  <si>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</si>
  <si>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</si>
  <si>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</si>
  <si>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</si>
  <si>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</si>
  <si>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</si>
  <si>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</si>
  <si>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</si>
  <si>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</si>
  <si>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</si>
  <si>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</si>
  <si>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</si>
  <si>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</si>
  <si>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</si>
  <si>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</si>
  <si>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</si>
  <si>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</si>
  <si>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</si>
  <si>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</si>
  <si>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</si>
  <si>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</si>
  <si>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</si>
  <si>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</si>
  <si>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</si>
  <si>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</si>
  <si>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</si>
  <si>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</si>
  <si>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</si>
  <si>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</si>
  <si>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</si>
  <si>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</si>
  <si>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</si>
  <si>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</si>
  <si>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</si>
  <si>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</si>
  <si>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</si>
  <si>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</si>
  <si>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</si>
  <si>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</si>
  <si>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</si>
  <si>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</si>
  <si>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</si>
  <si>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</si>
  <si>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</si>
  <si>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</si>
  <si>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</si>
  <si>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</si>
  <si>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</si>
  <si>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</si>
  <si>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</si>
  <si>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</si>
  <si>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</si>
  <si>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</si>
  <si>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</si>
  <si>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</si>
  <si>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</si>
  <si>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</si>
  <si>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</si>
  <si>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</si>
  <si>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</si>
  <si>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</si>
  <si>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</si>
  <si>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</si>
  <si>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</si>
  <si>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</si>
  <si>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</si>
  <si>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</si>
  <si>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</si>
  <si>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</si>
  <si>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</si>
  <si>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</si>
  <si>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</si>
  <si>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</si>
  <si>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</si>
  <si>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</si>
  <si>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</si>
  <si>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</si>
  <si>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</si>
  <si>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</si>
  <si>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</si>
  <si>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</si>
  <si>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</si>
  <si>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</si>
  <si>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</si>
  <si>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</si>
  <si>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</si>
  <si>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</si>
  <si>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</si>
  <si>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</si>
  <si>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</si>
  <si>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</si>
  <si>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</si>
  <si>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</si>
  <si>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</si>
  <si>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</si>
  <si>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</si>
  <si>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</si>
  <si>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</si>
  <si>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</si>
  <si>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</si>
  <si>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</si>
  <si>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</si>
  <si>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</si>
  <si>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</si>
  <si>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</si>
  <si>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</si>
  <si>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</si>
  <si>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</si>
  <si>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</si>
  <si>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</si>
  <si>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</si>
  <si>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</si>
  <si>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</si>
  <si>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</si>
  <si>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</si>
  <si>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</si>
  <si>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</si>
  <si>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</si>
  <si>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</si>
  <si>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</si>
  <si>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</si>
  <si>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</si>
  <si>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</si>
  <si>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</si>
  <si>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</si>
  <si>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</si>
  <si>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</si>
  <si>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</si>
  <si>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</si>
  <si>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</si>
  <si>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</si>
  <si>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</si>
  <si>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</si>
  <si>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</si>
  <si>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</si>
  <si>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</si>
  <si>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</si>
  <si>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</si>
  <si>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</si>
  <si>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</si>
  <si>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</si>
  <si>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</si>
  <si>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</si>
  <si>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collision = 100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</si>
  <si>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</si>
  <si>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</si>
  <si>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</si>
  <si>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</si>
  <si>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</si>
  <si>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</si>
  <si>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</si>
  <si>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</si>
  <si>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</si>
  <si>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</si>
  <si>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</si>
  <si>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</si>
  <si>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</si>
  <si>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</si>
  <si>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</si>
  <si>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</si>
  <si>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</si>
  <si>
    <t>炎魔</t>
    <phoneticPr fontId="6" type="noConversion"/>
  </si>
  <si>
    <t>u084</t>
  </si>
  <si>
    <t>nlv2</t>
  </si>
  <si>
    <t>missile_art</t>
  </si>
  <si>
    <t>弹道模型</t>
    <phoneticPr fontId="6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</si>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</sst>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1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ont="1" applyAlignment="1">
      <alignment vertical="center"/>
    </xf>
    <xf numFmtId="177" fontId="0" fillId="0" borderId="0" xfId="0" applyNumberFormat="1" applyFont="1" applyAlignme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8"/>
  <sheetViews>
    <sheetView workbookViewId="0">
      <pane xSplit="1" ySplit="3" topLeftCell="B4" activePane="bottomRight" state="frozen"/>
      <selection pane="topRight"/>
      <selection pane="bottomLeft"/>
      <selection pane="bottomRight" activeCell="O14" sqref="O14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6" t="s">
        <v>441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442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447</v>
      </c>
      <c r="B85" s="13" t="s">
        <v>186</v>
      </c>
    </row>
    <row r="86" spans="1:5" ht="15" x14ac:dyDescent="0.15">
      <c r="A86" s="9" t="s">
        <v>449</v>
      </c>
      <c r="B86" s="13" t="s">
        <v>448</v>
      </c>
    </row>
    <row r="87" spans="1:5" x14ac:dyDescent="0.15">
      <c r="A87" s="9" t="s">
        <v>452</v>
      </c>
      <c r="B87" s="27" t="s">
        <v>454</v>
      </c>
    </row>
    <row r="88" spans="1:5" x14ac:dyDescent="0.15">
      <c r="A88" s="9"/>
    </row>
  </sheetData>
  <phoneticPr fontId="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21" zoomScale="115" zoomScaleNormal="115" workbookViewId="0">
      <selection activeCell="G39" sqref="G39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434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435</v>
      </c>
    </row>
    <row r="41" spans="1:1" ht="15" x14ac:dyDescent="0.15">
      <c r="A41" s="1" t="s">
        <v>438</v>
      </c>
    </row>
    <row r="42" spans="1:1" ht="15" x14ac:dyDescent="0.15">
      <c r="A42" s="1" t="s">
        <v>436</v>
      </c>
    </row>
    <row r="43" spans="1:1" ht="15" x14ac:dyDescent="0.15">
      <c r="A43" s="1" t="s">
        <v>439</v>
      </c>
    </row>
    <row r="44" spans="1:1" ht="15" x14ac:dyDescent="0.15">
      <c r="A44" s="1" t="s">
        <v>437</v>
      </c>
    </row>
    <row r="45" spans="1:1" ht="15" x14ac:dyDescent="0.15">
      <c r="A45" s="1" t="s">
        <v>440</v>
      </c>
    </row>
    <row r="46" spans="1:1" ht="15" x14ac:dyDescent="0.15">
      <c r="A46" s="1" t="s">
        <v>443</v>
      </c>
    </row>
    <row r="47" spans="1:1" ht="15" x14ac:dyDescent="0.15">
      <c r="A47" s="1" t="s">
        <v>444</v>
      </c>
    </row>
    <row r="48" spans="1:1" ht="15" x14ac:dyDescent="0.15">
      <c r="A48" s="1" t="s">
        <v>445</v>
      </c>
    </row>
    <row r="49" spans="1:1" ht="15" x14ac:dyDescent="0.15">
      <c r="A49" s="1" t="s">
        <v>446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88"/>
  <sheetViews>
    <sheetView tabSelected="1" workbookViewId="0">
      <selection activeCell="G1" sqref="G1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 t="s">
        <v>456</v>
      </c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 t="s">
        <v>455</v>
      </c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2.5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2.5</v>
      </c>
      <c r="E80" s="10">
        <v>20</v>
      </c>
      <c r="F80" s="10">
        <v>5</v>
      </c>
    </row>
    <row r="81" spans="1:7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7" ht="15" x14ac:dyDescent="0.15">
      <c r="A82" s="8" t="s">
        <v>191</v>
      </c>
      <c r="B82" s="13" t="s">
        <v>308</v>
      </c>
      <c r="C82" s="8" t="s">
        <v>313</v>
      </c>
      <c r="D82" s="8">
        <v>2.5</v>
      </c>
      <c r="E82" s="10">
        <v>20</v>
      </c>
      <c r="F82" s="10">
        <v>5</v>
      </c>
    </row>
    <row r="83" spans="1:7" ht="15" x14ac:dyDescent="0.15">
      <c r="A83" s="8" t="s">
        <v>193</v>
      </c>
      <c r="B83" s="13" t="s">
        <v>309</v>
      </c>
      <c r="C83" s="8" t="s">
        <v>313</v>
      </c>
      <c r="D83" s="8">
        <v>2.5</v>
      </c>
      <c r="E83" s="10">
        <v>20</v>
      </c>
      <c r="F83" s="10">
        <v>5</v>
      </c>
    </row>
    <row r="84" spans="1:7" ht="15" x14ac:dyDescent="0.15">
      <c r="A84" s="8" t="s">
        <v>195</v>
      </c>
      <c r="B84" s="13" t="s">
        <v>310</v>
      </c>
      <c r="C84" s="8" t="s">
        <v>313</v>
      </c>
      <c r="D84" s="8">
        <v>2.5</v>
      </c>
      <c r="E84" s="10">
        <v>20</v>
      </c>
      <c r="F84" s="10">
        <v>5</v>
      </c>
    </row>
    <row r="85" spans="1:7" ht="15" x14ac:dyDescent="0.15">
      <c r="A85" s="9" t="s">
        <v>447</v>
      </c>
      <c r="B85" s="13" t="s">
        <v>450</v>
      </c>
      <c r="C85" s="8"/>
      <c r="D85" s="8"/>
      <c r="E85" s="10"/>
      <c r="F85" s="10"/>
      <c r="G85" t="s">
        <v>458</v>
      </c>
    </row>
    <row r="86" spans="1:7" ht="15" x14ac:dyDescent="0.15">
      <c r="A86" s="9" t="s">
        <v>449</v>
      </c>
      <c r="B86" s="13" t="s">
        <v>451</v>
      </c>
      <c r="C86" s="8"/>
      <c r="D86" s="8"/>
      <c r="E86" s="10"/>
      <c r="F86" s="10"/>
      <c r="G86" t="s">
        <v>459</v>
      </c>
    </row>
    <row r="87" spans="1:7" ht="15" x14ac:dyDescent="0.15">
      <c r="A87" s="9" t="s">
        <v>452</v>
      </c>
      <c r="B87" s="13" t="s">
        <v>453</v>
      </c>
      <c r="G87" t="s">
        <v>457</v>
      </c>
    </row>
    <row r="88" spans="1:7" ht="15" x14ac:dyDescent="0.15">
      <c r="A88" s="9"/>
      <c r="B88" s="13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topLeftCell="A77" workbookViewId="0">
      <selection activeCell="K4" sqref="K4:K103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3"/>
      <c r="B3" s="23" t="s">
        <v>325</v>
      </c>
      <c r="C3" s="23" t="s">
        <v>326</v>
      </c>
      <c r="D3" s="16" t="s">
        <v>314</v>
      </c>
      <c r="E3" s="16" t="s">
        <v>315</v>
      </c>
      <c r="F3" s="23" t="s">
        <v>324</v>
      </c>
      <c r="G3" s="16" t="s">
        <v>316</v>
      </c>
      <c r="H3" s="16" t="s">
        <v>317</v>
      </c>
      <c r="I3" s="16" t="s">
        <v>318</v>
      </c>
      <c r="J3" s="16" t="s">
        <v>319</v>
      </c>
      <c r="K3" s="16" t="s">
        <v>320</v>
      </c>
      <c r="L3" s="16" t="s">
        <v>321</v>
      </c>
      <c r="M3" s="16" t="s">
        <v>322</v>
      </c>
      <c r="N3" s="16" t="s">
        <v>323</v>
      </c>
      <c r="O3" s="25" t="s">
        <v>433</v>
      </c>
    </row>
    <row r="4" spans="1:15" ht="15" x14ac:dyDescent="0.15">
      <c r="A4" s="24" t="s">
        <v>328</v>
      </c>
      <c r="B4" s="24" t="s">
        <v>328</v>
      </c>
      <c r="C4" s="22">
        <v>1</v>
      </c>
      <c r="D4" s="17">
        <v>10</v>
      </c>
      <c r="E4" s="18">
        <v>40</v>
      </c>
      <c r="F4" s="19">
        <v>2.5</v>
      </c>
      <c r="G4" s="20">
        <v>10</v>
      </c>
      <c r="H4" s="20">
        <v>0</v>
      </c>
      <c r="I4" s="20">
        <v>120</v>
      </c>
      <c r="J4" s="21">
        <f>I4/2</f>
        <v>60</v>
      </c>
      <c r="K4" s="21">
        <v>325</v>
      </c>
      <c r="L4" s="21">
        <v>1.5</v>
      </c>
      <c r="M4" s="21">
        <f>I4*0.01</f>
        <v>1.2</v>
      </c>
      <c r="N4" s="21">
        <f>J4*0.01</f>
        <v>0.6</v>
      </c>
      <c r="O4" s="10">
        <v>100</v>
      </c>
    </row>
    <row r="5" spans="1:15" ht="15" x14ac:dyDescent="0.15">
      <c r="A5" s="24" t="s">
        <v>329</v>
      </c>
      <c r="B5" s="24" t="s">
        <v>329</v>
      </c>
      <c r="C5" s="22">
        <v>2</v>
      </c>
      <c r="D5" s="17">
        <v>10</v>
      </c>
      <c r="E5" s="18">
        <f>E4*1.005+7</f>
        <v>47.199999999999996</v>
      </c>
      <c r="F5" s="19">
        <v>2.5</v>
      </c>
      <c r="G5" s="20">
        <f>(G4+11)*1.1</f>
        <v>23.1</v>
      </c>
      <c r="H5" s="20">
        <f t="shared" ref="H5:H68" si="0">(H4+1)*1.05</f>
        <v>1.05</v>
      </c>
      <c r="I5" s="20">
        <f t="shared" ref="I5:I68" si="1">(I4+200)*1.1</f>
        <v>352</v>
      </c>
      <c r="J5" s="21">
        <f t="shared" ref="J5:J68" si="2">I5/2</f>
        <v>176</v>
      </c>
      <c r="K5" s="21">
        <v>325</v>
      </c>
      <c r="L5" s="21">
        <v>1.5</v>
      </c>
      <c r="M5" s="21">
        <f t="shared" ref="M5:N36" si="3">I5*0.01</f>
        <v>3.52</v>
      </c>
      <c r="N5" s="21">
        <f t="shared" si="3"/>
        <v>1.76</v>
      </c>
      <c r="O5" s="10">
        <v>100</v>
      </c>
    </row>
    <row r="6" spans="1:15" ht="15" x14ac:dyDescent="0.15">
      <c r="A6" s="24" t="s">
        <v>330</v>
      </c>
      <c r="B6" s="24" t="s">
        <v>330</v>
      </c>
      <c r="C6" s="22">
        <v>3</v>
      </c>
      <c r="D6" s="17">
        <v>10</v>
      </c>
      <c r="E6" s="18">
        <f t="shared" ref="E6:E69" si="4">E5*1.005+7</f>
        <v>54.435999999999993</v>
      </c>
      <c r="F6" s="19">
        <v>2.5</v>
      </c>
      <c r="G6" s="20">
        <f t="shared" ref="G6:G69" si="5">(G5+11)*1.1</f>
        <v>37.510000000000005</v>
      </c>
      <c r="H6" s="20">
        <f t="shared" si="0"/>
        <v>2.1524999999999999</v>
      </c>
      <c r="I6" s="20">
        <f t="shared" si="1"/>
        <v>607.20000000000005</v>
      </c>
      <c r="J6" s="21">
        <f t="shared" si="2"/>
        <v>303.60000000000002</v>
      </c>
      <c r="K6" s="21">
        <v>325</v>
      </c>
      <c r="L6" s="21">
        <v>1.5</v>
      </c>
      <c r="M6" s="21">
        <f t="shared" si="3"/>
        <v>6.072000000000001</v>
      </c>
      <c r="N6" s="21">
        <f t="shared" si="3"/>
        <v>3.0360000000000005</v>
      </c>
      <c r="O6" s="10">
        <v>100</v>
      </c>
    </row>
    <row r="7" spans="1:15" ht="15" x14ac:dyDescent="0.15">
      <c r="A7" s="24" t="s">
        <v>331</v>
      </c>
      <c r="B7" s="24" t="s">
        <v>331</v>
      </c>
      <c r="C7" s="22">
        <v>4</v>
      </c>
      <c r="D7" s="17">
        <v>10</v>
      </c>
      <c r="E7" s="18">
        <f t="shared" si="4"/>
        <v>61.708179999999984</v>
      </c>
      <c r="F7" s="19">
        <v>2.5</v>
      </c>
      <c r="G7" s="20">
        <f t="shared" si="5"/>
        <v>53.361000000000011</v>
      </c>
      <c r="H7" s="20">
        <f t="shared" si="0"/>
        <v>3.3101250000000002</v>
      </c>
      <c r="I7" s="20">
        <f t="shared" si="1"/>
        <v>887.92000000000007</v>
      </c>
      <c r="J7" s="21">
        <f t="shared" si="2"/>
        <v>443.96000000000004</v>
      </c>
      <c r="K7" s="21">
        <v>325</v>
      </c>
      <c r="L7" s="21">
        <v>1.5</v>
      </c>
      <c r="M7" s="21">
        <f t="shared" si="3"/>
        <v>8.8792000000000009</v>
      </c>
      <c r="N7" s="21">
        <f t="shared" si="3"/>
        <v>4.4396000000000004</v>
      </c>
      <c r="O7" s="10">
        <v>100</v>
      </c>
    </row>
    <row r="8" spans="1:15" ht="15" x14ac:dyDescent="0.15">
      <c r="A8" s="24" t="s">
        <v>332</v>
      </c>
      <c r="B8" s="24" t="s">
        <v>332</v>
      </c>
      <c r="C8" s="22">
        <v>5</v>
      </c>
      <c r="D8" s="17">
        <v>10</v>
      </c>
      <c r="E8" s="18">
        <f t="shared" si="4"/>
        <v>69.016720899999967</v>
      </c>
      <c r="F8" s="19">
        <v>2.5</v>
      </c>
      <c r="G8" s="20">
        <f t="shared" si="5"/>
        <v>70.797100000000029</v>
      </c>
      <c r="H8" s="20">
        <f t="shared" si="0"/>
        <v>4.52563125</v>
      </c>
      <c r="I8" s="20">
        <f t="shared" si="1"/>
        <v>1196.7120000000002</v>
      </c>
      <c r="J8" s="21">
        <f t="shared" si="2"/>
        <v>598.35600000000011</v>
      </c>
      <c r="K8" s="21">
        <v>325</v>
      </c>
      <c r="L8" s="21">
        <v>1.5</v>
      </c>
      <c r="M8" s="21">
        <f t="shared" si="3"/>
        <v>11.967120000000003</v>
      </c>
      <c r="N8" s="21">
        <f t="shared" si="3"/>
        <v>5.9835600000000015</v>
      </c>
      <c r="O8" s="10">
        <v>100</v>
      </c>
    </row>
    <row r="9" spans="1:15" ht="15" x14ac:dyDescent="0.15">
      <c r="A9" s="24" t="s">
        <v>333</v>
      </c>
      <c r="B9" s="24" t="s">
        <v>333</v>
      </c>
      <c r="C9" s="22">
        <v>6</v>
      </c>
      <c r="D9" s="17">
        <v>20</v>
      </c>
      <c r="E9" s="18">
        <f t="shared" si="4"/>
        <v>76.361804504499958</v>
      </c>
      <c r="F9" s="19">
        <v>2.5</v>
      </c>
      <c r="G9" s="20">
        <f t="shared" si="5"/>
        <v>89.976810000000043</v>
      </c>
      <c r="H9" s="20">
        <f t="shared" si="0"/>
        <v>5.8019128125000003</v>
      </c>
      <c r="I9" s="20">
        <f t="shared" si="1"/>
        <v>1536.3832000000004</v>
      </c>
      <c r="J9" s="21">
        <f t="shared" si="2"/>
        <v>768.19160000000022</v>
      </c>
      <c r="K9" s="21">
        <v>325</v>
      </c>
      <c r="L9" s="21">
        <v>1.5</v>
      </c>
      <c r="M9" s="21">
        <f t="shared" si="3"/>
        <v>15.363832000000004</v>
      </c>
      <c r="N9" s="21">
        <f t="shared" si="3"/>
        <v>7.681916000000002</v>
      </c>
      <c r="O9" s="10">
        <v>100</v>
      </c>
    </row>
    <row r="10" spans="1:15" ht="15" x14ac:dyDescent="0.15">
      <c r="A10" s="24" t="s">
        <v>334</v>
      </c>
      <c r="B10" s="24" t="s">
        <v>334</v>
      </c>
      <c r="C10" s="22">
        <v>7</v>
      </c>
      <c r="D10" s="17">
        <v>20</v>
      </c>
      <c r="E10" s="18">
        <f t="shared" si="4"/>
        <v>83.743613527022447</v>
      </c>
      <c r="F10" s="19">
        <v>2.5</v>
      </c>
      <c r="G10" s="20">
        <f t="shared" si="5"/>
        <v>111.07449100000005</v>
      </c>
      <c r="H10" s="20">
        <f t="shared" si="0"/>
        <v>7.1420084531250003</v>
      </c>
      <c r="I10" s="20">
        <f t="shared" si="1"/>
        <v>1910.0215200000007</v>
      </c>
      <c r="J10" s="21">
        <f t="shared" si="2"/>
        <v>955.01076000000035</v>
      </c>
      <c r="K10" s="21">
        <v>325</v>
      </c>
      <c r="L10" s="21">
        <v>1.5</v>
      </c>
      <c r="M10" s="21">
        <f t="shared" si="3"/>
        <v>19.100215200000008</v>
      </c>
      <c r="N10" s="21">
        <f t="shared" si="3"/>
        <v>9.550107600000004</v>
      </c>
      <c r="O10" s="10">
        <v>100</v>
      </c>
    </row>
    <row r="11" spans="1:15" ht="15" x14ac:dyDescent="0.15">
      <c r="A11" s="24" t="s">
        <v>335</v>
      </c>
      <c r="B11" s="24" t="s">
        <v>335</v>
      </c>
      <c r="C11" s="22">
        <v>8</v>
      </c>
      <c r="D11" s="17">
        <v>20</v>
      </c>
      <c r="E11" s="18">
        <f t="shared" si="4"/>
        <v>91.162331594657545</v>
      </c>
      <c r="F11" s="19">
        <v>2.5</v>
      </c>
      <c r="G11" s="20">
        <f t="shared" si="5"/>
        <v>134.28194010000007</v>
      </c>
      <c r="H11" s="20">
        <f t="shared" si="0"/>
        <v>8.5491088757812523</v>
      </c>
      <c r="I11" s="20">
        <f t="shared" si="1"/>
        <v>2321.0236720000012</v>
      </c>
      <c r="J11" s="21">
        <f t="shared" si="2"/>
        <v>1160.5118360000006</v>
      </c>
      <c r="K11" s="21">
        <v>325</v>
      </c>
      <c r="L11" s="21">
        <v>1.5</v>
      </c>
      <c r="M11" s="21">
        <f t="shared" si="3"/>
        <v>23.210236720000012</v>
      </c>
      <c r="N11" s="21">
        <f t="shared" si="3"/>
        <v>11.605118360000006</v>
      </c>
      <c r="O11" s="10">
        <v>100</v>
      </c>
    </row>
    <row r="12" spans="1:15" ht="15" x14ac:dyDescent="0.15">
      <c r="A12" s="24" t="s">
        <v>336</v>
      </c>
      <c r="B12" s="24" t="s">
        <v>336</v>
      </c>
      <c r="C12" s="22">
        <v>9</v>
      </c>
      <c r="D12" s="17">
        <v>20</v>
      </c>
      <c r="E12" s="18">
        <f t="shared" si="4"/>
        <v>98.618143252630816</v>
      </c>
      <c r="F12" s="19">
        <v>2.5</v>
      </c>
      <c r="G12" s="20">
        <f t="shared" si="5"/>
        <v>159.81013411000009</v>
      </c>
      <c r="H12" s="20">
        <f t="shared" si="0"/>
        <v>10.026564319570316</v>
      </c>
      <c r="I12" s="20">
        <f t="shared" si="1"/>
        <v>2773.1260392000013</v>
      </c>
      <c r="J12" s="21">
        <f t="shared" si="2"/>
        <v>1386.5630196000006</v>
      </c>
      <c r="K12" s="21">
        <v>325</v>
      </c>
      <c r="L12" s="21">
        <v>1.5</v>
      </c>
      <c r="M12" s="21">
        <f t="shared" si="3"/>
        <v>27.731260392000014</v>
      </c>
      <c r="N12" s="21">
        <f t="shared" si="3"/>
        <v>13.865630196000007</v>
      </c>
      <c r="O12" s="10">
        <v>100</v>
      </c>
    </row>
    <row r="13" spans="1:15" ht="15" x14ac:dyDescent="0.15">
      <c r="A13" s="24" t="s">
        <v>337</v>
      </c>
      <c r="B13" s="24" t="s">
        <v>337</v>
      </c>
      <c r="C13" s="22">
        <v>10</v>
      </c>
      <c r="D13" s="17">
        <v>20</v>
      </c>
      <c r="E13" s="18">
        <f t="shared" si="4"/>
        <v>106.11123396889396</v>
      </c>
      <c r="F13" s="19">
        <v>2.5</v>
      </c>
      <c r="G13" s="20">
        <f t="shared" si="5"/>
        <v>187.89114752100011</v>
      </c>
      <c r="H13" s="20">
        <f t="shared" si="0"/>
        <v>11.577892535548832</v>
      </c>
      <c r="I13" s="20">
        <f t="shared" si="1"/>
        <v>3270.4386431200019</v>
      </c>
      <c r="J13" s="21">
        <f t="shared" si="2"/>
        <v>1635.2193215600009</v>
      </c>
      <c r="K13" s="21">
        <v>325</v>
      </c>
      <c r="L13" s="21">
        <v>1.5</v>
      </c>
      <c r="M13" s="21">
        <f t="shared" si="3"/>
        <v>32.704386431200021</v>
      </c>
      <c r="N13" s="21">
        <f t="shared" si="3"/>
        <v>16.35219321560001</v>
      </c>
      <c r="O13" s="10">
        <v>100</v>
      </c>
    </row>
    <row r="14" spans="1:15" ht="15" x14ac:dyDescent="0.15">
      <c r="A14" s="24" t="s">
        <v>338</v>
      </c>
      <c r="B14" s="24" t="s">
        <v>338</v>
      </c>
      <c r="C14" s="22">
        <v>11</v>
      </c>
      <c r="D14" s="17">
        <v>30</v>
      </c>
      <c r="E14" s="18">
        <f t="shared" si="4"/>
        <v>113.64179013873841</v>
      </c>
      <c r="F14" s="19">
        <v>2.5</v>
      </c>
      <c r="G14" s="20">
        <f t="shared" si="5"/>
        <v>218.78026227310013</v>
      </c>
      <c r="H14" s="20">
        <f t="shared" si="0"/>
        <v>13.206787162326274</v>
      </c>
      <c r="I14" s="20">
        <f t="shared" si="1"/>
        <v>3817.4825074320024</v>
      </c>
      <c r="J14" s="21">
        <f t="shared" si="2"/>
        <v>1908.7412537160012</v>
      </c>
      <c r="K14" s="21">
        <v>325</v>
      </c>
      <c r="L14" s="21">
        <v>1.5</v>
      </c>
      <c r="M14" s="21">
        <f t="shared" si="3"/>
        <v>38.174825074320026</v>
      </c>
      <c r="N14" s="21">
        <f t="shared" si="3"/>
        <v>19.087412537160013</v>
      </c>
      <c r="O14" s="10">
        <v>100</v>
      </c>
    </row>
    <row r="15" spans="1:15" ht="15" x14ac:dyDescent="0.15">
      <c r="A15" s="24" t="s">
        <v>339</v>
      </c>
      <c r="B15" s="24" t="s">
        <v>339</v>
      </c>
      <c r="C15" s="22">
        <v>12</v>
      </c>
      <c r="D15" s="17">
        <v>30</v>
      </c>
      <c r="E15" s="18">
        <f t="shared" si="4"/>
        <v>121.20999908943209</v>
      </c>
      <c r="F15" s="19">
        <v>2.5</v>
      </c>
      <c r="G15" s="20">
        <f t="shared" si="5"/>
        <v>252.75828850041017</v>
      </c>
      <c r="H15" s="20">
        <f t="shared" si="0"/>
        <v>14.917126520442588</v>
      </c>
      <c r="I15" s="20">
        <f t="shared" si="1"/>
        <v>4419.2307581752029</v>
      </c>
      <c r="J15" s="21">
        <f t="shared" si="2"/>
        <v>2209.6153790876015</v>
      </c>
      <c r="K15" s="21">
        <v>325</v>
      </c>
      <c r="L15" s="21">
        <v>1.5</v>
      </c>
      <c r="M15" s="21">
        <f t="shared" si="3"/>
        <v>44.192307581752033</v>
      </c>
      <c r="N15" s="21">
        <f t="shared" si="3"/>
        <v>22.096153790876016</v>
      </c>
      <c r="O15" s="10">
        <v>100</v>
      </c>
    </row>
    <row r="16" spans="1:15" ht="15" x14ac:dyDescent="0.15">
      <c r="A16" s="24" t="s">
        <v>340</v>
      </c>
      <c r="B16" s="24" t="s">
        <v>340</v>
      </c>
      <c r="C16" s="22">
        <v>13</v>
      </c>
      <c r="D16" s="17">
        <v>30</v>
      </c>
      <c r="E16" s="18">
        <f t="shared" si="4"/>
        <v>128.81604908487924</v>
      </c>
      <c r="F16" s="19">
        <v>2.5</v>
      </c>
      <c r="G16" s="20">
        <f t="shared" si="5"/>
        <v>290.13411735045122</v>
      </c>
      <c r="H16" s="20">
        <f t="shared" si="0"/>
        <v>16.712982846464719</v>
      </c>
      <c r="I16" s="20">
        <f t="shared" si="1"/>
        <v>5081.1538339927238</v>
      </c>
      <c r="J16" s="21">
        <f t="shared" si="2"/>
        <v>2540.5769169963619</v>
      </c>
      <c r="K16" s="21">
        <v>325</v>
      </c>
      <c r="L16" s="21">
        <v>1.5</v>
      </c>
      <c r="M16" s="21">
        <f t="shared" si="3"/>
        <v>50.811538339927239</v>
      </c>
      <c r="N16" s="21">
        <f t="shared" si="3"/>
        <v>25.405769169963619</v>
      </c>
      <c r="O16" s="10">
        <v>100</v>
      </c>
    </row>
    <row r="17" spans="1:15" ht="15" x14ac:dyDescent="0.15">
      <c r="A17" s="24" t="s">
        <v>341</v>
      </c>
      <c r="B17" s="24" t="s">
        <v>341</v>
      </c>
      <c r="C17" s="22">
        <v>14</v>
      </c>
      <c r="D17" s="17">
        <v>30</v>
      </c>
      <c r="E17" s="18">
        <f t="shared" si="4"/>
        <v>136.46012933030363</v>
      </c>
      <c r="F17" s="19">
        <v>2.5</v>
      </c>
      <c r="G17" s="20">
        <f t="shared" si="5"/>
        <v>331.24752908549635</v>
      </c>
      <c r="H17" s="20">
        <f t="shared" si="0"/>
        <v>18.598631988787957</v>
      </c>
      <c r="I17" s="20">
        <f t="shared" si="1"/>
        <v>5809.2692173919968</v>
      </c>
      <c r="J17" s="21">
        <f t="shared" si="2"/>
        <v>2904.6346086959984</v>
      </c>
      <c r="K17" s="21">
        <v>325</v>
      </c>
      <c r="L17" s="21">
        <v>1.5</v>
      </c>
      <c r="M17" s="21">
        <f t="shared" si="3"/>
        <v>58.092692173919971</v>
      </c>
      <c r="N17" s="21">
        <f t="shared" si="3"/>
        <v>29.046346086959986</v>
      </c>
      <c r="O17" s="10">
        <v>100</v>
      </c>
    </row>
    <row r="18" spans="1:15" ht="15" x14ac:dyDescent="0.15">
      <c r="A18" s="24" t="s">
        <v>342</v>
      </c>
      <c r="B18" s="24" t="s">
        <v>342</v>
      </c>
      <c r="C18" s="22">
        <v>15</v>
      </c>
      <c r="D18" s="17">
        <v>30</v>
      </c>
      <c r="E18" s="18">
        <f t="shared" si="4"/>
        <v>144.14242997695513</v>
      </c>
      <c r="F18" s="19">
        <v>2.5</v>
      </c>
      <c r="G18" s="20">
        <f t="shared" si="5"/>
        <v>376.472281994046</v>
      </c>
      <c r="H18" s="20">
        <f t="shared" si="0"/>
        <v>20.578563588227357</v>
      </c>
      <c r="I18" s="20">
        <f t="shared" si="1"/>
        <v>6610.196139131197</v>
      </c>
      <c r="J18" s="21">
        <f t="shared" si="2"/>
        <v>3305.0980695655985</v>
      </c>
      <c r="K18" s="21">
        <v>325</v>
      </c>
      <c r="L18" s="21">
        <v>1.5</v>
      </c>
      <c r="M18" s="21">
        <f t="shared" si="3"/>
        <v>66.101961391311974</v>
      </c>
      <c r="N18" s="21">
        <f t="shared" si="3"/>
        <v>33.050980695655987</v>
      </c>
      <c r="O18" s="10">
        <v>100</v>
      </c>
    </row>
    <row r="19" spans="1:15" ht="15" x14ac:dyDescent="0.15">
      <c r="A19" s="24" t="s">
        <v>343</v>
      </c>
      <c r="B19" s="24" t="s">
        <v>343</v>
      </c>
      <c r="C19" s="22">
        <v>16</v>
      </c>
      <c r="D19" s="17">
        <v>40</v>
      </c>
      <c r="E19" s="18">
        <f t="shared" si="4"/>
        <v>151.86314212683988</v>
      </c>
      <c r="F19" s="19">
        <v>2.5</v>
      </c>
      <c r="G19" s="20">
        <f t="shared" si="5"/>
        <v>426.21951019345062</v>
      </c>
      <c r="H19" s="20">
        <f t="shared" si="0"/>
        <v>22.657491767638728</v>
      </c>
      <c r="I19" s="20">
        <f t="shared" si="1"/>
        <v>7491.2157530443174</v>
      </c>
      <c r="J19" s="21">
        <f t="shared" si="2"/>
        <v>3745.6078765221587</v>
      </c>
      <c r="K19" s="21">
        <v>325</v>
      </c>
      <c r="L19" s="21">
        <v>1.5</v>
      </c>
      <c r="M19" s="21">
        <f t="shared" si="3"/>
        <v>74.912157530443181</v>
      </c>
      <c r="N19" s="21">
        <f t="shared" si="3"/>
        <v>37.456078765221591</v>
      </c>
      <c r="O19" s="10">
        <v>100</v>
      </c>
    </row>
    <row r="20" spans="1:15" ht="15" x14ac:dyDescent="0.15">
      <c r="A20" s="24" t="s">
        <v>344</v>
      </c>
      <c r="B20" s="24" t="s">
        <v>344</v>
      </c>
      <c r="C20" s="22">
        <v>17</v>
      </c>
      <c r="D20" s="17">
        <v>40</v>
      </c>
      <c r="E20" s="18">
        <f t="shared" si="4"/>
        <v>159.62245783747406</v>
      </c>
      <c r="F20" s="19">
        <v>2.5</v>
      </c>
      <c r="G20" s="20">
        <f t="shared" si="5"/>
        <v>480.94146121279573</v>
      </c>
      <c r="H20" s="20">
        <f t="shared" si="0"/>
        <v>24.840366356020667</v>
      </c>
      <c r="I20" s="20">
        <f t="shared" si="1"/>
        <v>8460.337328348749</v>
      </c>
      <c r="J20" s="21">
        <f t="shared" si="2"/>
        <v>4230.1686641743745</v>
      </c>
      <c r="K20" s="21">
        <v>325</v>
      </c>
      <c r="L20" s="21">
        <v>1.5</v>
      </c>
      <c r="M20" s="21">
        <f t="shared" si="3"/>
        <v>84.603373283487485</v>
      </c>
      <c r="N20" s="21">
        <f t="shared" si="3"/>
        <v>42.301686641743743</v>
      </c>
      <c r="O20" s="10">
        <v>100</v>
      </c>
    </row>
    <row r="21" spans="1:15" ht="15" x14ac:dyDescent="0.15">
      <c r="A21" s="24" t="s">
        <v>345</v>
      </c>
      <c r="B21" s="24" t="s">
        <v>345</v>
      </c>
      <c r="C21" s="22">
        <v>18</v>
      </c>
      <c r="D21" s="17">
        <v>40</v>
      </c>
      <c r="E21" s="18">
        <f t="shared" si="4"/>
        <v>167.4205701266614</v>
      </c>
      <c r="F21" s="19">
        <v>2.5</v>
      </c>
      <c r="G21" s="20">
        <f t="shared" si="5"/>
        <v>541.1356073340753</v>
      </c>
      <c r="H21" s="20">
        <f t="shared" si="0"/>
        <v>27.132384673821701</v>
      </c>
      <c r="I21" s="20">
        <f t="shared" si="1"/>
        <v>9526.371061183625</v>
      </c>
      <c r="J21" s="21">
        <f t="shared" si="2"/>
        <v>4763.1855305918125</v>
      </c>
      <c r="K21" s="21">
        <v>325</v>
      </c>
      <c r="L21" s="21">
        <v>1.5</v>
      </c>
      <c r="M21" s="21">
        <f t="shared" si="3"/>
        <v>95.263710611836245</v>
      </c>
      <c r="N21" s="21">
        <f t="shared" si="3"/>
        <v>47.631855305918123</v>
      </c>
      <c r="O21" s="10">
        <v>100</v>
      </c>
    </row>
    <row r="22" spans="1:15" ht="15" x14ac:dyDescent="0.15">
      <c r="A22" s="24" t="s">
        <v>346</v>
      </c>
      <c r="B22" s="24" t="s">
        <v>346</v>
      </c>
      <c r="C22" s="22">
        <v>19</v>
      </c>
      <c r="D22" s="17">
        <v>40</v>
      </c>
      <c r="E22" s="18">
        <f t="shared" si="4"/>
        <v>175.2576729772947</v>
      </c>
      <c r="F22" s="19">
        <v>2.5</v>
      </c>
      <c r="G22" s="20">
        <f t="shared" si="5"/>
        <v>607.34916806748288</v>
      </c>
      <c r="H22" s="20">
        <f t="shared" si="0"/>
        <v>29.539003907512786</v>
      </c>
      <c r="I22" s="20">
        <f t="shared" si="1"/>
        <v>10699.008167301989</v>
      </c>
      <c r="J22" s="21">
        <f t="shared" si="2"/>
        <v>5349.5040836509943</v>
      </c>
      <c r="K22" s="21">
        <v>325</v>
      </c>
      <c r="L22" s="21">
        <v>1.5</v>
      </c>
      <c r="M22" s="21">
        <f t="shared" si="3"/>
        <v>106.99008167301989</v>
      </c>
      <c r="N22" s="21">
        <f t="shared" si="3"/>
        <v>53.495040836509943</v>
      </c>
      <c r="O22" s="10">
        <v>100</v>
      </c>
    </row>
    <row r="23" spans="1:15" ht="15" x14ac:dyDescent="0.15">
      <c r="A23" s="24" t="s">
        <v>347</v>
      </c>
      <c r="B23" s="24" t="s">
        <v>347</v>
      </c>
      <c r="C23" s="22">
        <v>20</v>
      </c>
      <c r="D23" s="17">
        <v>40</v>
      </c>
      <c r="E23" s="18">
        <f t="shared" si="4"/>
        <v>183.13396134218115</v>
      </c>
      <c r="F23" s="19">
        <v>2.5</v>
      </c>
      <c r="G23" s="20">
        <f t="shared" si="5"/>
        <v>680.18408487423119</v>
      </c>
      <c r="H23" s="20">
        <f t="shared" si="0"/>
        <v>32.065954102888426</v>
      </c>
      <c r="I23" s="20">
        <f t="shared" si="1"/>
        <v>11988.908984032189</v>
      </c>
      <c r="J23" s="21">
        <f t="shared" si="2"/>
        <v>5994.4544920160943</v>
      </c>
      <c r="K23" s="21">
        <v>325</v>
      </c>
      <c r="L23" s="21">
        <v>1.5</v>
      </c>
      <c r="M23" s="21">
        <f t="shared" si="3"/>
        <v>119.88908984032189</v>
      </c>
      <c r="N23" s="21">
        <f t="shared" si="3"/>
        <v>59.944544920160943</v>
      </c>
      <c r="O23" s="10">
        <v>100</v>
      </c>
    </row>
    <row r="24" spans="1:15" ht="15" x14ac:dyDescent="0.15">
      <c r="A24" s="24" t="s">
        <v>348</v>
      </c>
      <c r="B24" s="24" t="s">
        <v>348</v>
      </c>
      <c r="C24" s="22">
        <v>21</v>
      </c>
      <c r="D24" s="17">
        <v>50</v>
      </c>
      <c r="E24" s="18">
        <f t="shared" si="4"/>
        <v>191.04963114889205</v>
      </c>
      <c r="F24" s="19">
        <v>2.5</v>
      </c>
      <c r="G24" s="20">
        <f t="shared" si="5"/>
        <v>760.30249336165434</v>
      </c>
      <c r="H24" s="20">
        <f t="shared" si="0"/>
        <v>34.719251808032851</v>
      </c>
      <c r="I24" s="20">
        <f t="shared" si="1"/>
        <v>13407.799882435409</v>
      </c>
      <c r="J24" s="21">
        <f t="shared" si="2"/>
        <v>6703.8999412177045</v>
      </c>
      <c r="K24" s="21">
        <v>325</v>
      </c>
      <c r="L24" s="21">
        <v>1.5</v>
      </c>
      <c r="M24" s="21">
        <f t="shared" si="3"/>
        <v>134.0779988243541</v>
      </c>
      <c r="N24" s="21">
        <f t="shared" si="3"/>
        <v>67.038999412177048</v>
      </c>
      <c r="O24" s="10">
        <v>100</v>
      </c>
    </row>
    <row r="25" spans="1:15" ht="15" x14ac:dyDescent="0.15">
      <c r="A25" s="24" t="s">
        <v>349</v>
      </c>
      <c r="B25" s="24" t="s">
        <v>349</v>
      </c>
      <c r="C25" s="22">
        <v>22</v>
      </c>
      <c r="D25" s="17">
        <v>50</v>
      </c>
      <c r="E25" s="18">
        <f t="shared" si="4"/>
        <v>199.00487930463649</v>
      </c>
      <c r="F25" s="19">
        <v>2.5</v>
      </c>
      <c r="G25" s="20">
        <f t="shared" si="5"/>
        <v>848.43274269781989</v>
      </c>
      <c r="H25" s="20">
        <f t="shared" si="0"/>
        <v>37.505214398434497</v>
      </c>
      <c r="I25" s="20">
        <f t="shared" si="1"/>
        <v>14968.579870678952</v>
      </c>
      <c r="J25" s="21">
        <f t="shared" si="2"/>
        <v>7484.289935339476</v>
      </c>
      <c r="K25" s="21">
        <v>325</v>
      </c>
      <c r="L25" s="21">
        <v>1.5</v>
      </c>
      <c r="M25" s="21">
        <f t="shared" si="3"/>
        <v>149.68579870678951</v>
      </c>
      <c r="N25" s="21">
        <f t="shared" si="3"/>
        <v>74.842899353394756</v>
      </c>
      <c r="O25" s="10">
        <v>100</v>
      </c>
    </row>
    <row r="26" spans="1:15" ht="15" x14ac:dyDescent="0.15">
      <c r="A26" s="24" t="s">
        <v>350</v>
      </c>
      <c r="B26" s="24" t="s">
        <v>350</v>
      </c>
      <c r="C26" s="22">
        <v>23</v>
      </c>
      <c r="D26" s="17">
        <v>50</v>
      </c>
      <c r="E26" s="18">
        <f t="shared" si="4"/>
        <v>206.99990370115964</v>
      </c>
      <c r="F26" s="19">
        <v>2.5</v>
      </c>
      <c r="G26" s="20">
        <f t="shared" si="5"/>
        <v>945.37601696760191</v>
      </c>
      <c r="H26" s="20">
        <f t="shared" si="0"/>
        <v>40.43047511835622</v>
      </c>
      <c r="I26" s="20">
        <f t="shared" si="1"/>
        <v>16685.437857746849</v>
      </c>
      <c r="J26" s="21">
        <f t="shared" si="2"/>
        <v>8342.7189288734244</v>
      </c>
      <c r="K26" s="21">
        <v>325</v>
      </c>
      <c r="L26" s="21">
        <v>1.5</v>
      </c>
      <c r="M26" s="21">
        <f t="shared" si="3"/>
        <v>166.85437857746848</v>
      </c>
      <c r="N26" s="21">
        <f t="shared" si="3"/>
        <v>83.42718928873424</v>
      </c>
      <c r="O26" s="10">
        <v>100</v>
      </c>
    </row>
    <row r="27" spans="1:15" ht="15" x14ac:dyDescent="0.15">
      <c r="A27" s="24" t="s">
        <v>351</v>
      </c>
      <c r="B27" s="24" t="s">
        <v>351</v>
      </c>
      <c r="C27" s="22">
        <v>24</v>
      </c>
      <c r="D27" s="17">
        <v>50</v>
      </c>
      <c r="E27" s="18">
        <f t="shared" si="4"/>
        <v>215.03490321966541</v>
      </c>
      <c r="F27" s="19">
        <v>2.5</v>
      </c>
      <c r="G27" s="20">
        <f t="shared" si="5"/>
        <v>1052.0136186643622</v>
      </c>
      <c r="H27" s="20">
        <f t="shared" si="0"/>
        <v>43.501998874274037</v>
      </c>
      <c r="I27" s="20">
        <f t="shared" si="1"/>
        <v>18573.981643521536</v>
      </c>
      <c r="J27" s="21">
        <f t="shared" si="2"/>
        <v>9286.9908217607681</v>
      </c>
      <c r="K27" s="21">
        <v>325</v>
      </c>
      <c r="L27" s="21">
        <v>1.5</v>
      </c>
      <c r="M27" s="21">
        <f t="shared" si="3"/>
        <v>185.73981643521537</v>
      </c>
      <c r="N27" s="21">
        <f t="shared" si="3"/>
        <v>92.869908217607687</v>
      </c>
      <c r="O27" s="10">
        <v>100</v>
      </c>
    </row>
    <row r="28" spans="1:15" ht="15" x14ac:dyDescent="0.15">
      <c r="A28" s="24" t="s">
        <v>352</v>
      </c>
      <c r="B28" s="24" t="s">
        <v>352</v>
      </c>
      <c r="C28" s="22">
        <v>25</v>
      </c>
      <c r="D28" s="17">
        <v>50</v>
      </c>
      <c r="E28" s="18">
        <f t="shared" si="4"/>
        <v>223.11007773576372</v>
      </c>
      <c r="F28" s="19">
        <v>2.5</v>
      </c>
      <c r="G28" s="20">
        <f t="shared" si="5"/>
        <v>1169.3149805307985</v>
      </c>
      <c r="H28" s="20">
        <f t="shared" si="0"/>
        <v>46.727098817987738</v>
      </c>
      <c r="I28" s="20">
        <f t="shared" si="1"/>
        <v>20651.379807873691</v>
      </c>
      <c r="J28" s="21">
        <f t="shared" si="2"/>
        <v>10325.689903936845</v>
      </c>
      <c r="K28" s="21">
        <v>325</v>
      </c>
      <c r="L28" s="21">
        <v>1.5</v>
      </c>
      <c r="M28" s="21">
        <f t="shared" si="3"/>
        <v>206.51379807873693</v>
      </c>
      <c r="N28" s="21">
        <f t="shared" si="3"/>
        <v>103.25689903936846</v>
      </c>
      <c r="O28" s="10">
        <v>100</v>
      </c>
    </row>
    <row r="29" spans="1:15" ht="15" x14ac:dyDescent="0.15">
      <c r="A29" s="24" t="s">
        <v>353</v>
      </c>
      <c r="B29" s="24" t="s">
        <v>353</v>
      </c>
      <c r="C29" s="22">
        <v>26</v>
      </c>
      <c r="D29" s="17">
        <v>60</v>
      </c>
      <c r="E29" s="18">
        <f t="shared" si="4"/>
        <v>231.22562812444252</v>
      </c>
      <c r="F29" s="19">
        <v>2.5</v>
      </c>
      <c r="G29" s="20">
        <f t="shared" si="5"/>
        <v>1298.3464785838785</v>
      </c>
      <c r="H29" s="20">
        <f t="shared" si="0"/>
        <v>50.113453758887125</v>
      </c>
      <c r="I29" s="20">
        <f t="shared" si="1"/>
        <v>22936.517788661062</v>
      </c>
      <c r="J29" s="21">
        <f t="shared" si="2"/>
        <v>11468.258894330531</v>
      </c>
      <c r="K29" s="21">
        <v>325</v>
      </c>
      <c r="L29" s="21">
        <v>1.5</v>
      </c>
      <c r="M29" s="21">
        <f t="shared" si="3"/>
        <v>229.36517788661061</v>
      </c>
      <c r="N29" s="21">
        <f t="shared" si="3"/>
        <v>114.6825889433053</v>
      </c>
      <c r="O29" s="10">
        <v>100</v>
      </c>
    </row>
    <row r="30" spans="1:15" ht="15" x14ac:dyDescent="0.15">
      <c r="A30" s="24" t="s">
        <v>354</v>
      </c>
      <c r="B30" s="24" t="s">
        <v>354</v>
      </c>
      <c r="C30" s="22">
        <v>27</v>
      </c>
      <c r="D30" s="17">
        <v>60</v>
      </c>
      <c r="E30" s="18">
        <f t="shared" si="4"/>
        <v>239.38175626506472</v>
      </c>
      <c r="F30" s="19">
        <v>2.5</v>
      </c>
      <c r="G30" s="20">
        <f t="shared" si="5"/>
        <v>1440.2811264422664</v>
      </c>
      <c r="H30" s="20">
        <f t="shared" si="0"/>
        <v>53.669126446831484</v>
      </c>
      <c r="I30" s="20">
        <f t="shared" si="1"/>
        <v>25450.169567527169</v>
      </c>
      <c r="J30" s="21">
        <f t="shared" si="2"/>
        <v>12725.084783763585</v>
      </c>
      <c r="K30" s="21">
        <v>325</v>
      </c>
      <c r="L30" s="21">
        <v>1.5</v>
      </c>
      <c r="M30" s="21">
        <f t="shared" si="3"/>
        <v>254.50169567527169</v>
      </c>
      <c r="N30" s="21">
        <f t="shared" si="3"/>
        <v>127.25084783763585</v>
      </c>
      <c r="O30" s="10">
        <v>100</v>
      </c>
    </row>
    <row r="31" spans="1:15" ht="15" x14ac:dyDescent="0.15">
      <c r="A31" s="24" t="s">
        <v>355</v>
      </c>
      <c r="B31" s="24" t="s">
        <v>355</v>
      </c>
      <c r="C31" s="22">
        <v>28</v>
      </c>
      <c r="D31" s="17">
        <v>60</v>
      </c>
      <c r="E31" s="18">
        <f t="shared" si="4"/>
        <v>247.57866504639003</v>
      </c>
      <c r="F31" s="19">
        <v>2.5</v>
      </c>
      <c r="G31" s="20">
        <f t="shared" si="5"/>
        <v>1596.4092390864932</v>
      </c>
      <c r="H31" s="20">
        <f t="shared" si="0"/>
        <v>57.402582769173058</v>
      </c>
      <c r="I31" s="20">
        <f t="shared" si="1"/>
        <v>28215.186524279889</v>
      </c>
      <c r="J31" s="21">
        <f t="shared" si="2"/>
        <v>14107.593262139944</v>
      </c>
      <c r="K31" s="21">
        <v>325</v>
      </c>
      <c r="L31" s="21">
        <v>1.5</v>
      </c>
      <c r="M31" s="21">
        <f t="shared" si="3"/>
        <v>282.15186524279892</v>
      </c>
      <c r="N31" s="21">
        <f t="shared" si="3"/>
        <v>141.07593262139946</v>
      </c>
      <c r="O31" s="10">
        <v>100</v>
      </c>
    </row>
    <row r="32" spans="1:15" ht="15" x14ac:dyDescent="0.15">
      <c r="A32" s="24" t="s">
        <v>356</v>
      </c>
      <c r="B32" s="24" t="s">
        <v>356</v>
      </c>
      <c r="C32" s="22">
        <v>29</v>
      </c>
      <c r="D32" s="17">
        <v>60</v>
      </c>
      <c r="E32" s="18">
        <f t="shared" si="4"/>
        <v>255.81655837162197</v>
      </c>
      <c r="F32" s="19">
        <v>2.5</v>
      </c>
      <c r="G32" s="20">
        <f t="shared" si="5"/>
        <v>1768.1501629951426</v>
      </c>
      <c r="H32" s="20">
        <f t="shared" si="0"/>
        <v>61.322711907631714</v>
      </c>
      <c r="I32" s="20">
        <f t="shared" si="1"/>
        <v>31256.705176707881</v>
      </c>
      <c r="J32" s="21">
        <f t="shared" si="2"/>
        <v>15628.352588353941</v>
      </c>
      <c r="K32" s="21">
        <v>325</v>
      </c>
      <c r="L32" s="21">
        <v>1.5</v>
      </c>
      <c r="M32" s="21">
        <f t="shared" si="3"/>
        <v>312.56705176707879</v>
      </c>
      <c r="N32" s="21">
        <f t="shared" si="3"/>
        <v>156.2835258835394</v>
      </c>
      <c r="O32" s="10">
        <v>100</v>
      </c>
    </row>
    <row r="33" spans="1:15" ht="15" x14ac:dyDescent="0.15">
      <c r="A33" s="24" t="s">
        <v>357</v>
      </c>
      <c r="B33" s="24" t="s">
        <v>357</v>
      </c>
      <c r="C33" s="22">
        <v>30</v>
      </c>
      <c r="D33" s="17">
        <v>60</v>
      </c>
      <c r="E33" s="18">
        <f t="shared" si="4"/>
        <v>264.09564116348002</v>
      </c>
      <c r="F33" s="19">
        <v>2.5</v>
      </c>
      <c r="G33" s="20">
        <f t="shared" si="5"/>
        <v>1957.0651792946571</v>
      </c>
      <c r="H33" s="20">
        <f t="shared" si="0"/>
        <v>65.438847503013307</v>
      </c>
      <c r="I33" s="20">
        <f t="shared" si="1"/>
        <v>34602.375694378672</v>
      </c>
      <c r="J33" s="21">
        <f t="shared" si="2"/>
        <v>17301.187847189336</v>
      </c>
      <c r="K33" s="21">
        <v>325</v>
      </c>
      <c r="L33" s="21">
        <v>1.5</v>
      </c>
      <c r="M33" s="21">
        <f t="shared" si="3"/>
        <v>346.02375694378674</v>
      </c>
      <c r="N33" s="21">
        <f t="shared" si="3"/>
        <v>173.01187847189337</v>
      </c>
      <c r="O33" s="10">
        <v>100</v>
      </c>
    </row>
    <row r="34" spans="1:15" ht="15" x14ac:dyDescent="0.15">
      <c r="A34" s="24" t="s">
        <v>358</v>
      </c>
      <c r="B34" s="24" t="s">
        <v>358</v>
      </c>
      <c r="C34" s="22">
        <v>31</v>
      </c>
      <c r="D34" s="17">
        <v>70</v>
      </c>
      <c r="E34" s="18">
        <f t="shared" si="4"/>
        <v>272.41611936929741</v>
      </c>
      <c r="F34" s="19">
        <v>2.5</v>
      </c>
      <c r="G34" s="20">
        <f t="shared" si="5"/>
        <v>2164.8716972241232</v>
      </c>
      <c r="H34" s="20">
        <f t="shared" si="0"/>
        <v>69.760789878163976</v>
      </c>
      <c r="I34" s="20">
        <f t="shared" si="1"/>
        <v>38282.613263816544</v>
      </c>
      <c r="J34" s="21">
        <f t="shared" si="2"/>
        <v>19141.306631908272</v>
      </c>
      <c r="K34" s="21">
        <v>325</v>
      </c>
      <c r="L34" s="21">
        <v>1.5</v>
      </c>
      <c r="M34" s="21">
        <f t="shared" si="3"/>
        <v>382.82613263816546</v>
      </c>
      <c r="N34" s="21">
        <f t="shared" si="3"/>
        <v>191.41306631908273</v>
      </c>
      <c r="O34" s="10">
        <v>100</v>
      </c>
    </row>
    <row r="35" spans="1:15" ht="15" x14ac:dyDescent="0.15">
      <c r="A35" s="24" t="s">
        <v>359</v>
      </c>
      <c r="B35" s="24" t="s">
        <v>359</v>
      </c>
      <c r="C35" s="22">
        <v>32</v>
      </c>
      <c r="D35" s="17">
        <v>70</v>
      </c>
      <c r="E35" s="18">
        <f t="shared" si="4"/>
        <v>280.77819996614386</v>
      </c>
      <c r="F35" s="19">
        <v>2.5</v>
      </c>
      <c r="G35" s="20">
        <f t="shared" si="5"/>
        <v>2393.4588669465356</v>
      </c>
      <c r="H35" s="20">
        <f t="shared" si="0"/>
        <v>74.298829372072177</v>
      </c>
      <c r="I35" s="20">
        <f t="shared" si="1"/>
        <v>42330.874590198204</v>
      </c>
      <c r="J35" s="21">
        <f t="shared" si="2"/>
        <v>21165.437295099102</v>
      </c>
      <c r="K35" s="21">
        <v>325</v>
      </c>
      <c r="L35" s="21">
        <v>1.5</v>
      </c>
      <c r="M35" s="21">
        <f t="shared" si="3"/>
        <v>423.30874590198204</v>
      </c>
      <c r="N35" s="21">
        <f t="shared" si="3"/>
        <v>211.65437295099102</v>
      </c>
      <c r="O35" s="10">
        <v>100</v>
      </c>
    </row>
    <row r="36" spans="1:15" ht="15" x14ac:dyDescent="0.15">
      <c r="A36" s="24" t="s">
        <v>360</v>
      </c>
      <c r="B36" s="24" t="s">
        <v>360</v>
      </c>
      <c r="C36" s="22">
        <v>33</v>
      </c>
      <c r="D36" s="17">
        <v>70</v>
      </c>
      <c r="E36" s="18">
        <f t="shared" si="4"/>
        <v>289.18209096597457</v>
      </c>
      <c r="F36" s="19">
        <v>2.5</v>
      </c>
      <c r="G36" s="20">
        <f t="shared" si="5"/>
        <v>2644.9047536411895</v>
      </c>
      <c r="H36" s="20">
        <f t="shared" si="0"/>
        <v>79.063770840675787</v>
      </c>
      <c r="I36" s="20">
        <f t="shared" si="1"/>
        <v>46783.962049218026</v>
      </c>
      <c r="J36" s="21">
        <f t="shared" si="2"/>
        <v>23391.981024609013</v>
      </c>
      <c r="K36" s="21">
        <v>325</v>
      </c>
      <c r="L36" s="21">
        <v>1.5</v>
      </c>
      <c r="M36" s="21">
        <f t="shared" si="3"/>
        <v>467.83962049218025</v>
      </c>
      <c r="N36" s="21">
        <f t="shared" si="3"/>
        <v>233.91981024609012</v>
      </c>
      <c r="O36" s="10">
        <v>100</v>
      </c>
    </row>
    <row r="37" spans="1:15" ht="15" x14ac:dyDescent="0.15">
      <c r="A37" s="24" t="s">
        <v>361</v>
      </c>
      <c r="B37" s="24" t="s">
        <v>361</v>
      </c>
      <c r="C37" s="22">
        <v>34</v>
      </c>
      <c r="D37" s="17">
        <v>70</v>
      </c>
      <c r="E37" s="18">
        <f t="shared" si="4"/>
        <v>297.62800142080442</v>
      </c>
      <c r="F37" s="19">
        <v>2.5</v>
      </c>
      <c r="G37" s="20">
        <f t="shared" si="5"/>
        <v>2921.4952290053088</v>
      </c>
      <c r="H37" s="20">
        <f t="shared" si="0"/>
        <v>84.066959382709584</v>
      </c>
      <c r="I37" s="20">
        <f t="shared" si="1"/>
        <v>51682.358254139835</v>
      </c>
      <c r="J37" s="21">
        <f t="shared" si="2"/>
        <v>25841.179127069918</v>
      </c>
      <c r="K37" s="21">
        <v>325</v>
      </c>
      <c r="L37" s="21">
        <v>1.5</v>
      </c>
      <c r="M37" s="21">
        <f t="shared" ref="M37:N68" si="6">I37*0.01</f>
        <v>516.82358254139831</v>
      </c>
      <c r="N37" s="21">
        <f t="shared" si="6"/>
        <v>258.41179127069915</v>
      </c>
      <c r="O37" s="10">
        <v>100</v>
      </c>
    </row>
    <row r="38" spans="1:15" ht="15" x14ac:dyDescent="0.15">
      <c r="A38" s="24" t="s">
        <v>362</v>
      </c>
      <c r="B38" s="24" t="s">
        <v>362</v>
      </c>
      <c r="C38" s="22">
        <v>35</v>
      </c>
      <c r="D38" s="17">
        <v>70</v>
      </c>
      <c r="E38" s="18">
        <f t="shared" si="4"/>
        <v>306.11614142790842</v>
      </c>
      <c r="F38" s="19">
        <v>2.5</v>
      </c>
      <c r="G38" s="20">
        <f t="shared" si="5"/>
        <v>3225.7447519058401</v>
      </c>
      <c r="H38" s="20">
        <f t="shared" si="0"/>
        <v>89.320307351845074</v>
      </c>
      <c r="I38" s="20">
        <f t="shared" si="1"/>
        <v>57070.594079553826</v>
      </c>
      <c r="J38" s="21">
        <f t="shared" si="2"/>
        <v>28535.297039776913</v>
      </c>
      <c r="K38" s="21">
        <v>325</v>
      </c>
      <c r="L38" s="21">
        <v>1.5</v>
      </c>
      <c r="M38" s="21">
        <f t="shared" si="6"/>
        <v>570.70594079553825</v>
      </c>
      <c r="N38" s="21">
        <f t="shared" si="6"/>
        <v>285.35297039776913</v>
      </c>
      <c r="O38" s="10">
        <v>100</v>
      </c>
    </row>
    <row r="39" spans="1:15" ht="15" x14ac:dyDescent="0.15">
      <c r="A39" s="24" t="s">
        <v>363</v>
      </c>
      <c r="B39" s="24" t="s">
        <v>363</v>
      </c>
      <c r="C39" s="22">
        <v>36</v>
      </c>
      <c r="D39" s="17">
        <v>80</v>
      </c>
      <c r="E39" s="18">
        <f t="shared" si="4"/>
        <v>314.64672213504792</v>
      </c>
      <c r="F39" s="19">
        <v>2.5</v>
      </c>
      <c r="G39" s="20">
        <f t="shared" si="5"/>
        <v>3560.4192270964245</v>
      </c>
      <c r="H39" s="20">
        <f t="shared" si="0"/>
        <v>94.836322719437334</v>
      </c>
      <c r="I39" s="20">
        <f t="shared" si="1"/>
        <v>62997.653487509211</v>
      </c>
      <c r="J39" s="21">
        <f t="shared" si="2"/>
        <v>31498.826743754606</v>
      </c>
      <c r="K39" s="21">
        <v>325</v>
      </c>
      <c r="L39" s="21">
        <v>1.5</v>
      </c>
      <c r="M39" s="21">
        <f t="shared" si="6"/>
        <v>629.97653487509217</v>
      </c>
      <c r="N39" s="21">
        <f t="shared" si="6"/>
        <v>314.98826743754609</v>
      </c>
      <c r="O39" s="10">
        <v>100</v>
      </c>
    </row>
    <row r="40" spans="1:15" ht="15" x14ac:dyDescent="0.15">
      <c r="A40" s="24" t="s">
        <v>364</v>
      </c>
      <c r="B40" s="24" t="s">
        <v>364</v>
      </c>
      <c r="C40" s="22">
        <v>37</v>
      </c>
      <c r="D40" s="17">
        <v>80</v>
      </c>
      <c r="E40" s="18">
        <f t="shared" si="4"/>
        <v>323.21995574572315</v>
      </c>
      <c r="F40" s="19">
        <v>2.5</v>
      </c>
      <c r="G40" s="20">
        <f t="shared" si="5"/>
        <v>3928.5611498060671</v>
      </c>
      <c r="H40" s="20">
        <f t="shared" si="0"/>
        <v>100.6281388554092</v>
      </c>
      <c r="I40" s="20">
        <f t="shared" si="1"/>
        <v>69517.418836260142</v>
      </c>
      <c r="J40" s="21">
        <f t="shared" si="2"/>
        <v>34758.709418130071</v>
      </c>
      <c r="K40" s="21">
        <v>325</v>
      </c>
      <c r="L40" s="21">
        <v>1.5</v>
      </c>
      <c r="M40" s="21">
        <f t="shared" si="6"/>
        <v>695.1741883626014</v>
      </c>
      <c r="N40" s="21">
        <f t="shared" si="6"/>
        <v>347.5870941813007</v>
      </c>
      <c r="O40" s="10">
        <v>100</v>
      </c>
    </row>
    <row r="41" spans="1:15" ht="15" x14ac:dyDescent="0.15">
      <c r="A41" s="24" t="s">
        <v>365</v>
      </c>
      <c r="B41" s="24" t="s">
        <v>365</v>
      </c>
      <c r="C41" s="22">
        <v>38</v>
      </c>
      <c r="D41" s="17">
        <v>80</v>
      </c>
      <c r="E41" s="18">
        <f t="shared" si="4"/>
        <v>331.83605552445175</v>
      </c>
      <c r="F41" s="19">
        <v>2.5</v>
      </c>
      <c r="G41" s="20">
        <f t="shared" si="5"/>
        <v>4333.5172647866739</v>
      </c>
      <c r="H41" s="20">
        <f t="shared" si="0"/>
        <v>106.70954579817968</v>
      </c>
      <c r="I41" s="20">
        <f t="shared" si="1"/>
        <v>76689.16071988616</v>
      </c>
      <c r="J41" s="21">
        <f t="shared" si="2"/>
        <v>38344.58035994308</v>
      </c>
      <c r="K41" s="21">
        <v>325</v>
      </c>
      <c r="L41" s="21">
        <v>1.5</v>
      </c>
      <c r="M41" s="21">
        <f t="shared" si="6"/>
        <v>766.89160719886161</v>
      </c>
      <c r="N41" s="21">
        <f t="shared" si="6"/>
        <v>383.4458035994308</v>
      </c>
      <c r="O41" s="10">
        <v>100</v>
      </c>
    </row>
    <row r="42" spans="1:15" ht="15" x14ac:dyDescent="0.15">
      <c r="A42" s="24" t="s">
        <v>366</v>
      </c>
      <c r="B42" s="24" t="s">
        <v>366</v>
      </c>
      <c r="C42" s="22">
        <v>39</v>
      </c>
      <c r="D42" s="17">
        <v>80</v>
      </c>
      <c r="E42" s="18">
        <f t="shared" si="4"/>
        <v>340.49523580207398</v>
      </c>
      <c r="F42" s="19">
        <v>2.5</v>
      </c>
      <c r="G42" s="20">
        <f t="shared" si="5"/>
        <v>4778.9689912653421</v>
      </c>
      <c r="H42" s="20">
        <f t="shared" si="0"/>
        <v>113.09502308808867</v>
      </c>
      <c r="I42" s="20">
        <f t="shared" si="1"/>
        <v>84578.076791874788</v>
      </c>
      <c r="J42" s="21">
        <f t="shared" si="2"/>
        <v>42289.038395937394</v>
      </c>
      <c r="K42" s="21">
        <v>325</v>
      </c>
      <c r="L42" s="21">
        <v>1.5</v>
      </c>
      <c r="M42" s="21">
        <f t="shared" si="6"/>
        <v>845.78076791874787</v>
      </c>
      <c r="N42" s="21">
        <f t="shared" si="6"/>
        <v>422.89038395937393</v>
      </c>
      <c r="O42" s="10">
        <v>100</v>
      </c>
    </row>
    <row r="43" spans="1:15" ht="15" x14ac:dyDescent="0.15">
      <c r="A43" s="24" t="s">
        <v>367</v>
      </c>
      <c r="B43" s="24" t="s">
        <v>367</v>
      </c>
      <c r="C43" s="22">
        <v>40</v>
      </c>
      <c r="D43" s="17">
        <v>80</v>
      </c>
      <c r="E43" s="18">
        <f t="shared" si="4"/>
        <v>349.1977119810843</v>
      </c>
      <c r="F43" s="19">
        <v>2.5</v>
      </c>
      <c r="G43" s="20">
        <f t="shared" si="5"/>
        <v>5268.9658903918771</v>
      </c>
      <c r="H43" s="20">
        <f t="shared" si="0"/>
        <v>119.7997742424931</v>
      </c>
      <c r="I43" s="20">
        <f t="shared" si="1"/>
        <v>93255.88447106228</v>
      </c>
      <c r="J43" s="21">
        <f t="shared" si="2"/>
        <v>46627.94223553114</v>
      </c>
      <c r="K43" s="21">
        <v>325</v>
      </c>
      <c r="L43" s="21">
        <v>1.5</v>
      </c>
      <c r="M43" s="21">
        <f t="shared" si="6"/>
        <v>932.55884471062279</v>
      </c>
      <c r="N43" s="21">
        <f t="shared" si="6"/>
        <v>466.2794223553114</v>
      </c>
      <c r="O43" s="10">
        <v>100</v>
      </c>
    </row>
    <row r="44" spans="1:15" ht="15" x14ac:dyDescent="0.15">
      <c r="A44" s="24" t="s">
        <v>368</v>
      </c>
      <c r="B44" s="24" t="s">
        <v>368</v>
      </c>
      <c r="C44" s="22">
        <v>41</v>
      </c>
      <c r="D44" s="17">
        <v>90</v>
      </c>
      <c r="E44" s="18">
        <f t="shared" si="4"/>
        <v>357.94370054098965</v>
      </c>
      <c r="F44" s="19">
        <v>2.5</v>
      </c>
      <c r="G44" s="20">
        <f t="shared" si="5"/>
        <v>5807.9624794310657</v>
      </c>
      <c r="H44" s="20">
        <f t="shared" si="0"/>
        <v>126.83976295461775</v>
      </c>
      <c r="I44" s="20">
        <f t="shared" si="1"/>
        <v>102801.47291816851</v>
      </c>
      <c r="J44" s="21">
        <f t="shared" si="2"/>
        <v>51400.736459084255</v>
      </c>
      <c r="K44" s="21">
        <v>325</v>
      </c>
      <c r="L44" s="21">
        <v>1.5</v>
      </c>
      <c r="M44" s="21">
        <f t="shared" si="6"/>
        <v>1028.0147291816852</v>
      </c>
      <c r="N44" s="21">
        <f t="shared" si="6"/>
        <v>514.0073645908426</v>
      </c>
      <c r="O44" s="10">
        <v>100</v>
      </c>
    </row>
    <row r="45" spans="1:15" ht="15" x14ac:dyDescent="0.15">
      <c r="A45" s="24" t="s">
        <v>369</v>
      </c>
      <c r="B45" s="24" t="s">
        <v>369</v>
      </c>
      <c r="C45" s="22">
        <v>42</v>
      </c>
      <c r="D45" s="17">
        <v>90</v>
      </c>
      <c r="E45" s="18">
        <f t="shared" si="4"/>
        <v>366.73341904369454</v>
      </c>
      <c r="F45" s="19">
        <v>2.5</v>
      </c>
      <c r="G45" s="20">
        <f t="shared" si="5"/>
        <v>6400.8587273741732</v>
      </c>
      <c r="H45" s="20">
        <f t="shared" si="0"/>
        <v>134.23175110234865</v>
      </c>
      <c r="I45" s="20">
        <f t="shared" si="1"/>
        <v>113301.62020998537</v>
      </c>
      <c r="J45" s="21">
        <f t="shared" si="2"/>
        <v>56650.810104992685</v>
      </c>
      <c r="K45" s="21">
        <v>325</v>
      </c>
      <c r="L45" s="21">
        <v>1.5</v>
      </c>
      <c r="M45" s="21">
        <f t="shared" si="6"/>
        <v>1133.0162020998537</v>
      </c>
      <c r="N45" s="21">
        <f t="shared" si="6"/>
        <v>566.50810104992684</v>
      </c>
      <c r="O45" s="10">
        <v>100</v>
      </c>
    </row>
    <row r="46" spans="1:15" ht="15" x14ac:dyDescent="0.15">
      <c r="A46" s="24" t="s">
        <v>370</v>
      </c>
      <c r="B46" s="24" t="s">
        <v>370</v>
      </c>
      <c r="C46" s="22">
        <v>43</v>
      </c>
      <c r="D46" s="17">
        <v>90</v>
      </c>
      <c r="E46" s="18">
        <f t="shared" si="4"/>
        <v>375.567086138913</v>
      </c>
      <c r="F46" s="19">
        <v>2.5</v>
      </c>
      <c r="G46" s="20">
        <f t="shared" si="5"/>
        <v>7053.0446001115915</v>
      </c>
      <c r="H46" s="20">
        <f t="shared" si="0"/>
        <v>141.9933386574661</v>
      </c>
      <c r="I46" s="20">
        <f t="shared" si="1"/>
        <v>124851.78223098391</v>
      </c>
      <c r="J46" s="21">
        <f t="shared" si="2"/>
        <v>62425.891115491955</v>
      </c>
      <c r="K46" s="21">
        <v>325</v>
      </c>
      <c r="L46" s="21">
        <v>1.5</v>
      </c>
      <c r="M46" s="21">
        <f t="shared" si="6"/>
        <v>1248.5178223098392</v>
      </c>
      <c r="N46" s="21">
        <f t="shared" si="6"/>
        <v>624.25891115491959</v>
      </c>
      <c r="O46" s="10">
        <v>100</v>
      </c>
    </row>
    <row r="47" spans="1:15" ht="15" x14ac:dyDescent="0.15">
      <c r="A47" s="24" t="s">
        <v>371</v>
      </c>
      <c r="B47" s="24" t="s">
        <v>371</v>
      </c>
      <c r="C47" s="22">
        <v>44</v>
      </c>
      <c r="D47" s="17">
        <v>90</v>
      </c>
      <c r="E47" s="18">
        <f t="shared" si="4"/>
        <v>384.44492156960752</v>
      </c>
      <c r="F47" s="19">
        <v>2.5</v>
      </c>
      <c r="G47" s="20">
        <f t="shared" si="5"/>
        <v>7770.4490601227517</v>
      </c>
      <c r="H47" s="20">
        <f t="shared" si="0"/>
        <v>150.14300559033941</v>
      </c>
      <c r="I47" s="20">
        <f t="shared" si="1"/>
        <v>137556.96045408232</v>
      </c>
      <c r="J47" s="21">
        <f t="shared" si="2"/>
        <v>68778.48022704116</v>
      </c>
      <c r="K47" s="21">
        <v>325</v>
      </c>
      <c r="L47" s="21">
        <v>1.5</v>
      </c>
      <c r="M47" s="21">
        <f t="shared" si="6"/>
        <v>1375.5696045408233</v>
      </c>
      <c r="N47" s="21">
        <f t="shared" si="6"/>
        <v>687.78480227041166</v>
      </c>
      <c r="O47" s="10">
        <v>100</v>
      </c>
    </row>
    <row r="48" spans="1:15" ht="15" x14ac:dyDescent="0.15">
      <c r="A48" s="24" t="s">
        <v>372</v>
      </c>
      <c r="B48" s="24" t="s">
        <v>372</v>
      </c>
      <c r="C48" s="22">
        <v>45</v>
      </c>
      <c r="D48" s="17">
        <v>90</v>
      </c>
      <c r="E48" s="18">
        <f t="shared" si="4"/>
        <v>393.36714617745554</v>
      </c>
      <c r="F48" s="19">
        <v>2.5</v>
      </c>
      <c r="G48" s="20">
        <f t="shared" si="5"/>
        <v>8559.5939661350276</v>
      </c>
      <c r="H48" s="20">
        <f t="shared" si="0"/>
        <v>158.70015586985639</v>
      </c>
      <c r="I48" s="20">
        <f t="shared" si="1"/>
        <v>151532.65649949058</v>
      </c>
      <c r="J48" s="21">
        <f t="shared" si="2"/>
        <v>75766.328249745289</v>
      </c>
      <c r="K48" s="21">
        <v>325</v>
      </c>
      <c r="L48" s="21">
        <v>1.5</v>
      </c>
      <c r="M48" s="21">
        <f t="shared" si="6"/>
        <v>1515.3265649949058</v>
      </c>
      <c r="N48" s="21">
        <f t="shared" si="6"/>
        <v>757.66328249745288</v>
      </c>
      <c r="O48" s="10">
        <v>100</v>
      </c>
    </row>
    <row r="49" spans="1:15" ht="15" x14ac:dyDescent="0.15">
      <c r="A49" s="24" t="s">
        <v>373</v>
      </c>
      <c r="B49" s="24" t="s">
        <v>373</v>
      </c>
      <c r="C49" s="22">
        <v>46</v>
      </c>
      <c r="D49" s="17">
        <v>100</v>
      </c>
      <c r="E49" s="18">
        <f t="shared" si="4"/>
        <v>402.33398190834276</v>
      </c>
      <c r="F49" s="19">
        <v>2.5</v>
      </c>
      <c r="G49" s="20">
        <f t="shared" si="5"/>
        <v>9427.6533627485314</v>
      </c>
      <c r="H49" s="20">
        <f t="shared" si="0"/>
        <v>167.68516366334921</v>
      </c>
      <c r="I49" s="20">
        <f t="shared" si="1"/>
        <v>166905.92214943966</v>
      </c>
      <c r="J49" s="21">
        <f t="shared" si="2"/>
        <v>83452.961074719831</v>
      </c>
      <c r="K49" s="21">
        <v>325</v>
      </c>
      <c r="L49" s="21">
        <v>1.5</v>
      </c>
      <c r="M49" s="21">
        <f t="shared" si="6"/>
        <v>1669.0592214943968</v>
      </c>
      <c r="N49" s="21">
        <f t="shared" si="6"/>
        <v>834.52961074719838</v>
      </c>
      <c r="O49" s="10">
        <v>100</v>
      </c>
    </row>
    <row r="50" spans="1:15" ht="15" x14ac:dyDescent="0.15">
      <c r="A50" s="24" t="s">
        <v>374</v>
      </c>
      <c r="B50" s="24" t="s">
        <v>374</v>
      </c>
      <c r="C50" s="22">
        <v>47</v>
      </c>
      <c r="D50" s="17">
        <v>100</v>
      </c>
      <c r="E50" s="18">
        <f t="shared" si="4"/>
        <v>411.34565181788446</v>
      </c>
      <c r="F50" s="19">
        <v>2.5</v>
      </c>
      <c r="G50" s="20">
        <f t="shared" si="5"/>
        <v>10382.518699023385</v>
      </c>
      <c r="H50" s="20">
        <f t="shared" si="0"/>
        <v>177.11942184651667</v>
      </c>
      <c r="I50" s="20">
        <f t="shared" si="1"/>
        <v>183816.51436438365</v>
      </c>
      <c r="J50" s="21">
        <f t="shared" si="2"/>
        <v>91908.257182191825</v>
      </c>
      <c r="K50" s="21">
        <v>325</v>
      </c>
      <c r="L50" s="21">
        <v>1.5</v>
      </c>
      <c r="M50" s="21">
        <f t="shared" si="6"/>
        <v>1838.1651436438365</v>
      </c>
      <c r="N50" s="21">
        <f t="shared" si="6"/>
        <v>919.08257182191824</v>
      </c>
      <c r="O50" s="10">
        <v>100</v>
      </c>
    </row>
    <row r="51" spans="1:15" ht="15" x14ac:dyDescent="0.15">
      <c r="A51" s="24" t="s">
        <v>375</v>
      </c>
      <c r="B51" s="24" t="s">
        <v>375</v>
      </c>
      <c r="C51" s="22">
        <v>48</v>
      </c>
      <c r="D51" s="17">
        <v>100</v>
      </c>
      <c r="E51" s="18">
        <f t="shared" si="4"/>
        <v>420.40238007697383</v>
      </c>
      <c r="F51" s="19">
        <v>2.5</v>
      </c>
      <c r="G51" s="20">
        <f t="shared" si="5"/>
        <v>11432.870568925724</v>
      </c>
      <c r="H51" s="20">
        <f t="shared" si="0"/>
        <v>187.02539293884251</v>
      </c>
      <c r="I51" s="20">
        <f t="shared" si="1"/>
        <v>202418.16580082203</v>
      </c>
      <c r="J51" s="21">
        <f t="shared" si="2"/>
        <v>101209.08290041101</v>
      </c>
      <c r="K51" s="21">
        <v>325</v>
      </c>
      <c r="L51" s="21">
        <v>1.5</v>
      </c>
      <c r="M51" s="21">
        <f t="shared" si="6"/>
        <v>2024.1816580082202</v>
      </c>
      <c r="N51" s="21">
        <f t="shared" si="6"/>
        <v>1012.0908290041101</v>
      </c>
      <c r="O51" s="10">
        <v>100</v>
      </c>
    </row>
    <row r="52" spans="1:15" ht="15" x14ac:dyDescent="0.15">
      <c r="A52" s="24" t="s">
        <v>376</v>
      </c>
      <c r="B52" s="24" t="s">
        <v>376</v>
      </c>
      <c r="C52" s="22">
        <v>49</v>
      </c>
      <c r="D52" s="17">
        <v>100</v>
      </c>
      <c r="E52" s="18">
        <f t="shared" si="4"/>
        <v>429.50439197735864</v>
      </c>
      <c r="F52" s="19">
        <v>2.5</v>
      </c>
      <c r="G52" s="20">
        <f t="shared" si="5"/>
        <v>12588.257625818298</v>
      </c>
      <c r="H52" s="20">
        <f t="shared" si="0"/>
        <v>197.42666258578464</v>
      </c>
      <c r="I52" s="20">
        <f t="shared" si="1"/>
        <v>222879.98238090426</v>
      </c>
      <c r="J52" s="21">
        <f t="shared" si="2"/>
        <v>111439.99119045213</v>
      </c>
      <c r="K52" s="21">
        <v>325</v>
      </c>
      <c r="L52" s="21">
        <v>1.5</v>
      </c>
      <c r="M52" s="21">
        <f t="shared" si="6"/>
        <v>2228.7998238090427</v>
      </c>
      <c r="N52" s="21">
        <f t="shared" si="6"/>
        <v>1114.3999119045213</v>
      </c>
      <c r="O52" s="10">
        <v>100</v>
      </c>
    </row>
    <row r="53" spans="1:15" ht="15" x14ac:dyDescent="0.15">
      <c r="A53" s="24" t="s">
        <v>377</v>
      </c>
      <c r="B53" s="24" t="s">
        <v>377</v>
      </c>
      <c r="C53" s="22">
        <v>50</v>
      </c>
      <c r="D53" s="17">
        <v>100</v>
      </c>
      <c r="E53" s="18">
        <f t="shared" si="4"/>
        <v>438.65191393724541</v>
      </c>
      <c r="F53" s="19">
        <v>2.5</v>
      </c>
      <c r="G53" s="20">
        <f t="shared" si="5"/>
        <v>13859.18338840013</v>
      </c>
      <c r="H53" s="20">
        <f t="shared" si="0"/>
        <v>208.34799571507389</v>
      </c>
      <c r="I53" s="20">
        <f t="shared" si="1"/>
        <v>245387.98061899471</v>
      </c>
      <c r="J53" s="21">
        <f t="shared" si="2"/>
        <v>122693.99030949736</v>
      </c>
      <c r="K53" s="21">
        <v>325</v>
      </c>
      <c r="L53" s="21">
        <v>1.5</v>
      </c>
      <c r="M53" s="21">
        <f t="shared" si="6"/>
        <v>2453.879806189947</v>
      </c>
      <c r="N53" s="21">
        <f t="shared" si="6"/>
        <v>1226.9399030949735</v>
      </c>
      <c r="O53" s="10">
        <v>100</v>
      </c>
    </row>
    <row r="54" spans="1:15" ht="15" x14ac:dyDescent="0.15">
      <c r="A54" s="24" t="s">
        <v>378</v>
      </c>
      <c r="B54" s="24" t="s">
        <v>378</v>
      </c>
      <c r="C54" s="22">
        <v>51</v>
      </c>
      <c r="D54" s="17">
        <v>110</v>
      </c>
      <c r="E54" s="18">
        <f t="shared" si="4"/>
        <v>447.84517350693159</v>
      </c>
      <c r="F54" s="19">
        <v>2.5</v>
      </c>
      <c r="G54" s="20">
        <f t="shared" si="5"/>
        <v>15257.201727240144</v>
      </c>
      <c r="H54" s="20">
        <f t="shared" si="0"/>
        <v>219.81539550082761</v>
      </c>
      <c r="I54" s="20">
        <f t="shared" si="1"/>
        <v>270146.77868089423</v>
      </c>
      <c r="J54" s="21">
        <f t="shared" si="2"/>
        <v>135073.38934044712</v>
      </c>
      <c r="K54" s="21">
        <v>325</v>
      </c>
      <c r="L54" s="21">
        <v>1.5</v>
      </c>
      <c r="M54" s="21">
        <f t="shared" si="6"/>
        <v>2701.4677868089425</v>
      </c>
      <c r="N54" s="21">
        <f t="shared" si="6"/>
        <v>1350.7338934044712</v>
      </c>
      <c r="O54" s="10">
        <v>100</v>
      </c>
    </row>
    <row r="55" spans="1:15" ht="15" x14ac:dyDescent="0.15">
      <c r="A55" s="24" t="s">
        <v>379</v>
      </c>
      <c r="B55" s="24" t="s">
        <v>379</v>
      </c>
      <c r="C55" s="22">
        <v>52</v>
      </c>
      <c r="D55" s="17">
        <v>110</v>
      </c>
      <c r="E55" s="18">
        <f t="shared" si="4"/>
        <v>457.08439937446622</v>
      </c>
      <c r="F55" s="19">
        <v>2.5</v>
      </c>
      <c r="G55" s="20">
        <f t="shared" si="5"/>
        <v>16795.021899964162</v>
      </c>
      <c r="H55" s="20">
        <f t="shared" si="0"/>
        <v>231.85616527586899</v>
      </c>
      <c r="I55" s="20">
        <f t="shared" si="1"/>
        <v>297381.4565489837</v>
      </c>
      <c r="J55" s="21">
        <f t="shared" si="2"/>
        <v>148690.72827449185</v>
      </c>
      <c r="K55" s="21">
        <v>325</v>
      </c>
      <c r="L55" s="21">
        <v>1.5</v>
      </c>
      <c r="M55" s="21">
        <f t="shared" si="6"/>
        <v>2973.8145654898372</v>
      </c>
      <c r="N55" s="21">
        <f t="shared" si="6"/>
        <v>1486.9072827449186</v>
      </c>
      <c r="O55" s="10">
        <v>100</v>
      </c>
    </row>
    <row r="56" spans="1:15" ht="15" x14ac:dyDescent="0.15">
      <c r="A56" s="24" t="s">
        <v>380</v>
      </c>
      <c r="B56" s="24" t="s">
        <v>380</v>
      </c>
      <c r="C56" s="22">
        <v>53</v>
      </c>
      <c r="D56" s="17">
        <v>110</v>
      </c>
      <c r="E56" s="18">
        <f t="shared" si="4"/>
        <v>466.3698213713385</v>
      </c>
      <c r="F56" s="19">
        <v>2.5</v>
      </c>
      <c r="G56" s="20">
        <f t="shared" si="5"/>
        <v>18486.62408996058</v>
      </c>
      <c r="H56" s="20">
        <f t="shared" si="0"/>
        <v>244.49897353966244</v>
      </c>
      <c r="I56" s="20">
        <f t="shared" si="1"/>
        <v>327339.60220388207</v>
      </c>
      <c r="J56" s="21">
        <f t="shared" si="2"/>
        <v>163669.80110194103</v>
      </c>
      <c r="K56" s="21">
        <v>325</v>
      </c>
      <c r="L56" s="21">
        <v>1.5</v>
      </c>
      <c r="M56" s="21">
        <f t="shared" si="6"/>
        <v>3273.3960220388208</v>
      </c>
      <c r="N56" s="21">
        <f t="shared" si="6"/>
        <v>1636.6980110194104</v>
      </c>
      <c r="O56" s="10">
        <v>100</v>
      </c>
    </row>
    <row r="57" spans="1:15" ht="15" x14ac:dyDescent="0.15">
      <c r="A57" s="24" t="s">
        <v>381</v>
      </c>
      <c r="B57" s="24" t="s">
        <v>381</v>
      </c>
      <c r="C57" s="22">
        <v>54</v>
      </c>
      <c r="D57" s="17">
        <v>110</v>
      </c>
      <c r="E57" s="18">
        <f t="shared" si="4"/>
        <v>475.70167047819513</v>
      </c>
      <c r="F57" s="19">
        <v>2.5</v>
      </c>
      <c r="G57" s="20">
        <f t="shared" si="5"/>
        <v>20347.386498956639</v>
      </c>
      <c r="H57" s="20">
        <f t="shared" si="0"/>
        <v>257.77392221664559</v>
      </c>
      <c r="I57" s="20">
        <f t="shared" si="1"/>
        <v>360293.56242427032</v>
      </c>
      <c r="J57" s="21">
        <f t="shared" si="2"/>
        <v>180146.78121213516</v>
      </c>
      <c r="K57" s="21">
        <v>325</v>
      </c>
      <c r="L57" s="21">
        <v>1.5</v>
      </c>
      <c r="M57" s="21">
        <f t="shared" si="6"/>
        <v>3602.9356242427034</v>
      </c>
      <c r="N57" s="21">
        <f t="shared" si="6"/>
        <v>1801.4678121213517</v>
      </c>
      <c r="O57" s="10">
        <v>100</v>
      </c>
    </row>
    <row r="58" spans="1:15" ht="15" x14ac:dyDescent="0.15">
      <c r="A58" s="24" t="s">
        <v>382</v>
      </c>
      <c r="B58" s="24" t="s">
        <v>382</v>
      </c>
      <c r="C58" s="22">
        <v>55</v>
      </c>
      <c r="D58" s="17">
        <v>110</v>
      </c>
      <c r="E58" s="18">
        <f t="shared" si="4"/>
        <v>485.08017883058608</v>
      </c>
      <c r="F58" s="19">
        <v>2.5</v>
      </c>
      <c r="G58" s="20">
        <f t="shared" si="5"/>
        <v>22394.225148852303</v>
      </c>
      <c r="H58" s="20">
        <f t="shared" si="0"/>
        <v>271.71261832747786</v>
      </c>
      <c r="I58" s="20">
        <f t="shared" si="1"/>
        <v>396542.9186666974</v>
      </c>
      <c r="J58" s="21">
        <f t="shared" si="2"/>
        <v>198271.4593333487</v>
      </c>
      <c r="K58" s="21">
        <v>325</v>
      </c>
      <c r="L58" s="21">
        <v>1.5</v>
      </c>
      <c r="M58" s="21">
        <f t="shared" si="6"/>
        <v>3965.4291866669741</v>
      </c>
      <c r="N58" s="21">
        <f t="shared" si="6"/>
        <v>1982.7145933334871</v>
      </c>
      <c r="O58" s="10">
        <v>100</v>
      </c>
    </row>
    <row r="59" spans="1:15" ht="15" x14ac:dyDescent="0.15">
      <c r="A59" s="24" t="s">
        <v>383</v>
      </c>
      <c r="B59" s="24" t="s">
        <v>383</v>
      </c>
      <c r="C59" s="22">
        <v>56</v>
      </c>
      <c r="D59" s="17">
        <v>120</v>
      </c>
      <c r="E59" s="18">
        <f t="shared" si="4"/>
        <v>494.50557972473894</v>
      </c>
      <c r="F59" s="19">
        <v>2.5</v>
      </c>
      <c r="G59" s="20">
        <f t="shared" si="5"/>
        <v>24645.747663737537</v>
      </c>
      <c r="H59" s="20">
        <f t="shared" si="0"/>
        <v>286.34824924385174</v>
      </c>
      <c r="I59" s="20">
        <f t="shared" si="1"/>
        <v>436417.21053336718</v>
      </c>
      <c r="J59" s="21">
        <f t="shared" si="2"/>
        <v>218208.60526668359</v>
      </c>
      <c r="K59" s="21">
        <v>325</v>
      </c>
      <c r="L59" s="21">
        <v>1.5</v>
      </c>
      <c r="M59" s="21">
        <f t="shared" si="6"/>
        <v>4364.1721053336714</v>
      </c>
      <c r="N59" s="21">
        <f t="shared" si="6"/>
        <v>2182.0860526668357</v>
      </c>
      <c r="O59" s="10">
        <v>100</v>
      </c>
    </row>
    <row r="60" spans="1:15" ht="15" x14ac:dyDescent="0.15">
      <c r="A60" s="24" t="s">
        <v>384</v>
      </c>
      <c r="B60" s="24" t="s">
        <v>384</v>
      </c>
      <c r="C60" s="22">
        <v>57</v>
      </c>
      <c r="D60" s="17">
        <v>120</v>
      </c>
      <c r="E60" s="18">
        <f t="shared" si="4"/>
        <v>503.97810762336258</v>
      </c>
      <c r="F60" s="19">
        <v>2.5</v>
      </c>
      <c r="G60" s="20">
        <f t="shared" si="5"/>
        <v>27122.422430111292</v>
      </c>
      <c r="H60" s="20">
        <f t="shared" si="0"/>
        <v>301.71566170604433</v>
      </c>
      <c r="I60" s="20">
        <f t="shared" si="1"/>
        <v>480278.93158670393</v>
      </c>
      <c r="J60" s="21">
        <f t="shared" si="2"/>
        <v>240139.46579335196</v>
      </c>
      <c r="K60" s="21">
        <v>325</v>
      </c>
      <c r="L60" s="21">
        <v>1.5</v>
      </c>
      <c r="M60" s="21">
        <f t="shared" si="6"/>
        <v>4802.7893158670395</v>
      </c>
      <c r="N60" s="21">
        <f t="shared" si="6"/>
        <v>2401.3946579335197</v>
      </c>
      <c r="O60" s="10">
        <v>100</v>
      </c>
    </row>
    <row r="61" spans="1:15" ht="15" x14ac:dyDescent="0.15">
      <c r="A61" s="24" t="s">
        <v>385</v>
      </c>
      <c r="B61" s="24" t="s">
        <v>385</v>
      </c>
      <c r="C61" s="22">
        <v>58</v>
      </c>
      <c r="D61" s="17">
        <v>120</v>
      </c>
      <c r="E61" s="18">
        <f t="shared" si="4"/>
        <v>513.49799816147936</v>
      </c>
      <c r="F61" s="19">
        <v>2.5</v>
      </c>
      <c r="G61" s="20">
        <f t="shared" si="5"/>
        <v>29846.764673122423</v>
      </c>
      <c r="H61" s="20">
        <f t="shared" si="0"/>
        <v>317.85144479134658</v>
      </c>
      <c r="I61" s="20">
        <f t="shared" si="1"/>
        <v>528526.82474537438</v>
      </c>
      <c r="J61" s="21">
        <f t="shared" si="2"/>
        <v>264263.41237268719</v>
      </c>
      <c r="K61" s="21">
        <v>325</v>
      </c>
      <c r="L61" s="21">
        <v>1.5</v>
      </c>
      <c r="M61" s="21">
        <f t="shared" si="6"/>
        <v>5285.2682474537442</v>
      </c>
      <c r="N61" s="21">
        <f t="shared" si="6"/>
        <v>2642.6341237268721</v>
      </c>
      <c r="O61" s="10">
        <v>100</v>
      </c>
    </row>
    <row r="62" spans="1:15" ht="15" x14ac:dyDescent="0.15">
      <c r="A62" s="24" t="s">
        <v>386</v>
      </c>
      <c r="B62" s="24" t="s">
        <v>386</v>
      </c>
      <c r="C62" s="22">
        <v>59</v>
      </c>
      <c r="D62" s="17">
        <v>120</v>
      </c>
      <c r="E62" s="18">
        <f t="shared" si="4"/>
        <v>523.06548815228666</v>
      </c>
      <c r="F62" s="19">
        <v>2.5</v>
      </c>
      <c r="G62" s="20">
        <f t="shared" si="5"/>
        <v>32843.541140434667</v>
      </c>
      <c r="H62" s="20">
        <f t="shared" si="0"/>
        <v>334.79401703091395</v>
      </c>
      <c r="I62" s="20">
        <f t="shared" si="1"/>
        <v>581599.5072199119</v>
      </c>
      <c r="J62" s="21">
        <f t="shared" si="2"/>
        <v>290799.75360995595</v>
      </c>
      <c r="K62" s="21">
        <v>325</v>
      </c>
      <c r="L62" s="21">
        <v>1.5</v>
      </c>
      <c r="M62" s="21">
        <f t="shared" si="6"/>
        <v>5815.995072199119</v>
      </c>
      <c r="N62" s="21">
        <f t="shared" si="6"/>
        <v>2907.9975360995595</v>
      </c>
      <c r="O62" s="10">
        <v>100</v>
      </c>
    </row>
    <row r="63" spans="1:15" ht="15" x14ac:dyDescent="0.15">
      <c r="A63" s="24" t="s">
        <v>387</v>
      </c>
      <c r="B63" s="24" t="s">
        <v>387</v>
      </c>
      <c r="C63" s="22">
        <v>60</v>
      </c>
      <c r="D63" s="17">
        <v>120</v>
      </c>
      <c r="E63" s="18">
        <f t="shared" si="4"/>
        <v>532.68081559304801</v>
      </c>
      <c r="F63" s="19">
        <v>2.5</v>
      </c>
      <c r="G63" s="20">
        <f t="shared" si="5"/>
        <v>36139.995254478134</v>
      </c>
      <c r="H63" s="20">
        <f t="shared" si="0"/>
        <v>352.58371788245967</v>
      </c>
      <c r="I63" s="20">
        <f t="shared" si="1"/>
        <v>639979.45794190315</v>
      </c>
      <c r="J63" s="21">
        <f t="shared" si="2"/>
        <v>319989.72897095158</v>
      </c>
      <c r="K63" s="21">
        <v>325</v>
      </c>
      <c r="L63" s="21">
        <v>1.5</v>
      </c>
      <c r="M63" s="21">
        <f t="shared" si="6"/>
        <v>6399.7945794190318</v>
      </c>
      <c r="N63" s="21">
        <f t="shared" si="6"/>
        <v>3199.8972897095159</v>
      </c>
      <c r="O63" s="10">
        <v>100</v>
      </c>
    </row>
    <row r="64" spans="1:15" ht="15" x14ac:dyDescent="0.15">
      <c r="A64" s="24" t="s">
        <v>388</v>
      </c>
      <c r="B64" s="24" t="s">
        <v>388</v>
      </c>
      <c r="C64" s="22">
        <v>61</v>
      </c>
      <c r="D64" s="17">
        <v>130</v>
      </c>
      <c r="E64" s="18">
        <f t="shared" si="4"/>
        <v>542.34421967101321</v>
      </c>
      <c r="F64" s="19">
        <v>2.5</v>
      </c>
      <c r="G64" s="20">
        <f t="shared" si="5"/>
        <v>39766.094779925952</v>
      </c>
      <c r="H64" s="20">
        <f t="shared" si="0"/>
        <v>371.26290377658268</v>
      </c>
      <c r="I64" s="20">
        <f t="shared" si="1"/>
        <v>704197.40373609355</v>
      </c>
      <c r="J64" s="21">
        <f t="shared" si="2"/>
        <v>352098.70186804677</v>
      </c>
      <c r="K64" s="21">
        <v>325</v>
      </c>
      <c r="L64" s="21">
        <v>1.5</v>
      </c>
      <c r="M64" s="21">
        <f t="shared" si="6"/>
        <v>7041.9740373609357</v>
      </c>
      <c r="N64" s="21">
        <f t="shared" si="6"/>
        <v>3520.9870186804678</v>
      </c>
      <c r="O64" s="10">
        <v>100</v>
      </c>
    </row>
    <row r="65" spans="1:15" ht="15" x14ac:dyDescent="0.15">
      <c r="A65" s="24" t="s">
        <v>389</v>
      </c>
      <c r="B65" s="24" t="s">
        <v>389</v>
      </c>
      <c r="C65" s="22">
        <v>62</v>
      </c>
      <c r="D65" s="17">
        <v>130</v>
      </c>
      <c r="E65" s="18">
        <f t="shared" si="4"/>
        <v>552.05594076936825</v>
      </c>
      <c r="F65" s="19">
        <v>2.5</v>
      </c>
      <c r="G65" s="20">
        <f t="shared" si="5"/>
        <v>43754.804257918549</v>
      </c>
      <c r="H65" s="20">
        <f t="shared" si="0"/>
        <v>390.87604896541183</v>
      </c>
      <c r="I65" s="20">
        <f t="shared" si="1"/>
        <v>774837.14410970302</v>
      </c>
      <c r="J65" s="21">
        <f t="shared" si="2"/>
        <v>387418.57205485151</v>
      </c>
      <c r="K65" s="21">
        <v>325</v>
      </c>
      <c r="L65" s="21">
        <v>1.5</v>
      </c>
      <c r="M65" s="21">
        <f t="shared" si="6"/>
        <v>7748.3714410970306</v>
      </c>
      <c r="N65" s="21">
        <f t="shared" si="6"/>
        <v>3874.1857205485153</v>
      </c>
      <c r="O65" s="10">
        <v>100</v>
      </c>
    </row>
    <row r="66" spans="1:15" ht="15" x14ac:dyDescent="0.15">
      <c r="A66" s="24" t="s">
        <v>390</v>
      </c>
      <c r="B66" s="24" t="s">
        <v>390</v>
      </c>
      <c r="C66" s="22">
        <v>63</v>
      </c>
      <c r="D66" s="17">
        <v>130</v>
      </c>
      <c r="E66" s="18">
        <f t="shared" si="4"/>
        <v>561.81622047321503</v>
      </c>
      <c r="F66" s="19">
        <v>2.5</v>
      </c>
      <c r="G66" s="20">
        <f t="shared" si="5"/>
        <v>48142.384683710407</v>
      </c>
      <c r="H66" s="20">
        <f t="shared" si="0"/>
        <v>411.46985141368242</v>
      </c>
      <c r="I66" s="20">
        <f t="shared" si="1"/>
        <v>852540.85852067336</v>
      </c>
      <c r="J66" s="21">
        <f t="shared" si="2"/>
        <v>426270.42926033668</v>
      </c>
      <c r="K66" s="21">
        <v>325</v>
      </c>
      <c r="L66" s="21">
        <v>1.5</v>
      </c>
      <c r="M66" s="21">
        <f t="shared" si="6"/>
        <v>8525.4085852067328</v>
      </c>
      <c r="N66" s="21">
        <f t="shared" si="6"/>
        <v>4262.7042926033664</v>
      </c>
      <c r="O66" s="10">
        <v>100</v>
      </c>
    </row>
    <row r="67" spans="1:15" ht="15" x14ac:dyDescent="0.15">
      <c r="A67" s="24" t="s">
        <v>391</v>
      </c>
      <c r="B67" s="24" t="s">
        <v>391</v>
      </c>
      <c r="C67" s="22">
        <v>64</v>
      </c>
      <c r="D67" s="17">
        <v>130</v>
      </c>
      <c r="E67" s="18">
        <f t="shared" si="4"/>
        <v>571.62530157558103</v>
      </c>
      <c r="F67" s="19">
        <v>2.5</v>
      </c>
      <c r="G67" s="20">
        <f t="shared" si="5"/>
        <v>52968.723152081453</v>
      </c>
      <c r="H67" s="20">
        <f t="shared" si="0"/>
        <v>433.09334398436658</v>
      </c>
      <c r="I67" s="20">
        <f t="shared" si="1"/>
        <v>938014.94437274081</v>
      </c>
      <c r="J67" s="21">
        <f t="shared" si="2"/>
        <v>469007.4721863704</v>
      </c>
      <c r="K67" s="21">
        <v>325</v>
      </c>
      <c r="L67" s="21">
        <v>1.5</v>
      </c>
      <c r="M67" s="21">
        <f t="shared" si="6"/>
        <v>9380.1494437274087</v>
      </c>
      <c r="N67" s="21">
        <f t="shared" si="6"/>
        <v>4690.0747218637043</v>
      </c>
      <c r="O67" s="10">
        <v>100</v>
      </c>
    </row>
    <row r="68" spans="1:15" ht="15" x14ac:dyDescent="0.15">
      <c r="A68" s="24" t="s">
        <v>392</v>
      </c>
      <c r="B68" s="24" t="s">
        <v>392</v>
      </c>
      <c r="C68" s="22">
        <v>65</v>
      </c>
      <c r="D68" s="17">
        <v>130</v>
      </c>
      <c r="E68" s="18">
        <f t="shared" si="4"/>
        <v>581.48342808345888</v>
      </c>
      <c r="F68" s="19">
        <v>2.5</v>
      </c>
      <c r="G68" s="20">
        <f t="shared" si="5"/>
        <v>58277.695467289603</v>
      </c>
      <c r="H68" s="20">
        <f t="shared" si="0"/>
        <v>455.79801118358495</v>
      </c>
      <c r="I68" s="20">
        <f t="shared" si="1"/>
        <v>1032036.438810015</v>
      </c>
      <c r="J68" s="21">
        <f t="shared" si="2"/>
        <v>516018.21940500749</v>
      </c>
      <c r="K68" s="21">
        <v>325</v>
      </c>
      <c r="L68" s="21">
        <v>1.5</v>
      </c>
      <c r="M68" s="21">
        <f t="shared" si="6"/>
        <v>10320.36438810015</v>
      </c>
      <c r="N68" s="21">
        <f t="shared" si="6"/>
        <v>5160.1821940500749</v>
      </c>
      <c r="O68" s="10">
        <v>100</v>
      </c>
    </row>
    <row r="69" spans="1:15" ht="15" x14ac:dyDescent="0.15">
      <c r="A69" s="24" t="s">
        <v>393</v>
      </c>
      <c r="B69" s="24" t="s">
        <v>393</v>
      </c>
      <c r="C69" s="22">
        <v>66</v>
      </c>
      <c r="D69" s="17">
        <v>140</v>
      </c>
      <c r="E69" s="18">
        <f t="shared" si="4"/>
        <v>591.39084522387611</v>
      </c>
      <c r="F69" s="19">
        <v>2.5</v>
      </c>
      <c r="G69" s="20">
        <f t="shared" si="5"/>
        <v>64117.565014018568</v>
      </c>
      <c r="H69" s="20">
        <f t="shared" ref="H69:H103" si="7">(H68+1)*1.05</f>
        <v>479.63791174276423</v>
      </c>
      <c r="I69" s="20">
        <f t="shared" ref="I69:I103" si="8">(I68+200)*1.1</f>
        <v>1135460.0826910166</v>
      </c>
      <c r="J69" s="21">
        <f t="shared" ref="J69:J103" si="9">I69/2</f>
        <v>567730.0413455083</v>
      </c>
      <c r="K69" s="21">
        <v>325</v>
      </c>
      <c r="L69" s="21">
        <v>1.5</v>
      </c>
      <c r="M69" s="21">
        <f t="shared" ref="M69:N103" si="10">I69*0.01</f>
        <v>11354.600826910166</v>
      </c>
      <c r="N69" s="21">
        <f t="shared" si="10"/>
        <v>5677.3004134550829</v>
      </c>
      <c r="O69" s="10">
        <v>100</v>
      </c>
    </row>
    <row r="70" spans="1:15" ht="15" x14ac:dyDescent="0.15">
      <c r="A70" s="24" t="s">
        <v>394</v>
      </c>
      <c r="B70" s="24" t="s">
        <v>394</v>
      </c>
      <c r="C70" s="22">
        <v>67</v>
      </c>
      <c r="D70" s="17">
        <v>140</v>
      </c>
      <c r="E70" s="18">
        <f t="shared" ref="E70:E103" si="11">E69*1.005+7</f>
        <v>601.34779944999548</v>
      </c>
      <c r="F70" s="19">
        <v>2.5</v>
      </c>
      <c r="G70" s="20">
        <f t="shared" ref="G70:G103" si="12">(G69+11)*1.1</f>
        <v>70541.421515420428</v>
      </c>
      <c r="H70" s="20">
        <f t="shared" si="7"/>
        <v>504.66980732990248</v>
      </c>
      <c r="I70" s="20">
        <f t="shared" si="8"/>
        <v>1249226.0909601185</v>
      </c>
      <c r="J70" s="21">
        <f t="shared" si="9"/>
        <v>624613.04548005923</v>
      </c>
      <c r="K70" s="21">
        <v>325</v>
      </c>
      <c r="L70" s="21">
        <v>1.5</v>
      </c>
      <c r="M70" s="21">
        <f t="shared" si="10"/>
        <v>12492.260909601186</v>
      </c>
      <c r="N70" s="21">
        <f t="shared" si="10"/>
        <v>6246.1304548005928</v>
      </c>
      <c r="O70" s="10">
        <v>100</v>
      </c>
    </row>
    <row r="71" spans="1:15" ht="15" x14ac:dyDescent="0.15">
      <c r="A71" s="24" t="s">
        <v>395</v>
      </c>
      <c r="B71" s="24" t="s">
        <v>395</v>
      </c>
      <c r="C71" s="22">
        <v>68</v>
      </c>
      <c r="D71" s="17">
        <v>140</v>
      </c>
      <c r="E71" s="18">
        <f t="shared" si="11"/>
        <v>611.35453844724543</v>
      </c>
      <c r="F71" s="19">
        <v>2.5</v>
      </c>
      <c r="G71" s="20">
        <f t="shared" si="12"/>
        <v>77607.663666962471</v>
      </c>
      <c r="H71" s="20">
        <f t="shared" si="7"/>
        <v>530.95329769639761</v>
      </c>
      <c r="I71" s="20">
        <f t="shared" si="8"/>
        <v>1374368.7000561303</v>
      </c>
      <c r="J71" s="21">
        <f t="shared" si="9"/>
        <v>687184.35002806515</v>
      </c>
      <c r="K71" s="21">
        <v>325</v>
      </c>
      <c r="L71" s="21">
        <v>1.5</v>
      </c>
      <c r="M71" s="21">
        <f t="shared" si="10"/>
        <v>13743.687000561304</v>
      </c>
      <c r="N71" s="21">
        <f t="shared" si="10"/>
        <v>6871.8435002806518</v>
      </c>
      <c r="O71" s="10">
        <v>100</v>
      </c>
    </row>
    <row r="72" spans="1:15" ht="15" x14ac:dyDescent="0.15">
      <c r="A72" s="24" t="s">
        <v>396</v>
      </c>
      <c r="B72" s="24" t="s">
        <v>396</v>
      </c>
      <c r="C72" s="22">
        <v>69</v>
      </c>
      <c r="D72" s="17">
        <v>140</v>
      </c>
      <c r="E72" s="18">
        <f t="shared" si="11"/>
        <v>621.41131113948154</v>
      </c>
      <c r="F72" s="19">
        <v>2.5</v>
      </c>
      <c r="G72" s="20">
        <f t="shared" si="12"/>
        <v>85380.530033658724</v>
      </c>
      <c r="H72" s="20">
        <f t="shared" si="7"/>
        <v>558.5509625812175</v>
      </c>
      <c r="I72" s="20">
        <f t="shared" si="8"/>
        <v>1512025.5700617435</v>
      </c>
      <c r="J72" s="21">
        <f t="shared" si="9"/>
        <v>756012.78503087175</v>
      </c>
      <c r="K72" s="21">
        <v>325</v>
      </c>
      <c r="L72" s="21">
        <v>1.5</v>
      </c>
      <c r="M72" s="21">
        <f t="shared" si="10"/>
        <v>15120.255700617436</v>
      </c>
      <c r="N72" s="21">
        <f t="shared" si="10"/>
        <v>7560.1278503087178</v>
      </c>
      <c r="O72" s="10">
        <v>100</v>
      </c>
    </row>
    <row r="73" spans="1:15" ht="15" x14ac:dyDescent="0.15">
      <c r="A73" s="24" t="s">
        <v>397</v>
      </c>
      <c r="B73" s="24" t="s">
        <v>397</v>
      </c>
      <c r="C73" s="22">
        <v>70</v>
      </c>
      <c r="D73" s="17">
        <v>140</v>
      </c>
      <c r="E73" s="18">
        <f t="shared" si="11"/>
        <v>631.51836769517888</v>
      </c>
      <c r="F73" s="19">
        <v>2.5</v>
      </c>
      <c r="G73" s="20">
        <f t="shared" si="12"/>
        <v>93930.683037024603</v>
      </c>
      <c r="H73" s="20">
        <f t="shared" si="7"/>
        <v>587.5285107102784</v>
      </c>
      <c r="I73" s="20">
        <f t="shared" si="8"/>
        <v>1663448.127067918</v>
      </c>
      <c r="J73" s="21">
        <f t="shared" si="9"/>
        <v>831724.06353395898</v>
      </c>
      <c r="K73" s="21">
        <v>325</v>
      </c>
      <c r="L73" s="21">
        <v>1.5</v>
      </c>
      <c r="M73" s="21">
        <f t="shared" si="10"/>
        <v>16634.481270679178</v>
      </c>
      <c r="N73" s="21">
        <f t="shared" si="10"/>
        <v>8317.2406353395891</v>
      </c>
      <c r="O73" s="10">
        <v>100</v>
      </c>
    </row>
    <row r="74" spans="1:15" ht="15" x14ac:dyDescent="0.15">
      <c r="A74" s="24" t="s">
        <v>398</v>
      </c>
      <c r="B74" s="24" t="s">
        <v>398</v>
      </c>
      <c r="C74" s="22">
        <v>71</v>
      </c>
      <c r="D74" s="17">
        <v>150</v>
      </c>
      <c r="E74" s="18">
        <f t="shared" si="11"/>
        <v>641.67595953365469</v>
      </c>
      <c r="F74" s="19">
        <v>2.5</v>
      </c>
      <c r="G74" s="20">
        <f t="shared" si="12"/>
        <v>103335.85134072707</v>
      </c>
      <c r="H74" s="20">
        <f t="shared" si="7"/>
        <v>617.9549362457924</v>
      </c>
      <c r="I74" s="20">
        <f t="shared" si="8"/>
        <v>1830012.93977471</v>
      </c>
      <c r="J74" s="21">
        <f t="shared" si="9"/>
        <v>915006.46988735499</v>
      </c>
      <c r="K74" s="21">
        <v>325</v>
      </c>
      <c r="L74" s="21">
        <v>1.5</v>
      </c>
      <c r="M74" s="21">
        <f t="shared" si="10"/>
        <v>18300.1293977471</v>
      </c>
      <c r="N74" s="21">
        <f t="shared" si="10"/>
        <v>9150.0646988735498</v>
      </c>
      <c r="O74" s="10">
        <v>100</v>
      </c>
    </row>
    <row r="75" spans="1:15" ht="15" x14ac:dyDescent="0.15">
      <c r="A75" s="24" t="s">
        <v>399</v>
      </c>
      <c r="B75" s="24" t="s">
        <v>399</v>
      </c>
      <c r="C75" s="22">
        <v>72</v>
      </c>
      <c r="D75" s="17">
        <v>150</v>
      </c>
      <c r="E75" s="18">
        <f t="shared" si="11"/>
        <v>651.88433933132285</v>
      </c>
      <c r="F75" s="19">
        <v>2.5</v>
      </c>
      <c r="G75" s="20">
        <f t="shared" si="12"/>
        <v>113681.53647479978</v>
      </c>
      <c r="H75" s="20">
        <f t="shared" si="7"/>
        <v>649.90268305808206</v>
      </c>
      <c r="I75" s="20">
        <f t="shared" si="8"/>
        <v>2013234.2337521811</v>
      </c>
      <c r="J75" s="21">
        <f t="shared" si="9"/>
        <v>1006617.1168760905</v>
      </c>
      <c r="K75" s="21">
        <v>325</v>
      </c>
      <c r="L75" s="21">
        <v>1.5</v>
      </c>
      <c r="M75" s="21">
        <f t="shared" si="10"/>
        <v>20132.342337521812</v>
      </c>
      <c r="N75" s="21">
        <f t="shared" si="10"/>
        <v>10066.171168760906</v>
      </c>
      <c r="O75" s="10">
        <v>100</v>
      </c>
    </row>
    <row r="76" spans="1:15" ht="15" x14ac:dyDescent="0.15">
      <c r="A76" s="24" t="s">
        <v>400</v>
      </c>
      <c r="B76" s="24" t="s">
        <v>400</v>
      </c>
      <c r="C76" s="22">
        <v>73</v>
      </c>
      <c r="D76" s="17">
        <v>150</v>
      </c>
      <c r="E76" s="18">
        <f t="shared" si="11"/>
        <v>662.14376102797939</v>
      </c>
      <c r="F76" s="19">
        <v>2.5</v>
      </c>
      <c r="G76" s="20">
        <f t="shared" si="12"/>
        <v>125061.79012227977</v>
      </c>
      <c r="H76" s="20">
        <f t="shared" si="7"/>
        <v>683.44781721098616</v>
      </c>
      <c r="I76" s="20">
        <f t="shared" si="8"/>
        <v>2214777.6571273995</v>
      </c>
      <c r="J76" s="21">
        <f t="shared" si="9"/>
        <v>1107388.8285636997</v>
      </c>
      <c r="K76" s="21">
        <v>325</v>
      </c>
      <c r="L76" s="21">
        <v>1.5</v>
      </c>
      <c r="M76" s="21">
        <f t="shared" si="10"/>
        <v>22147.776571273997</v>
      </c>
      <c r="N76" s="21">
        <f t="shared" si="10"/>
        <v>11073.888285636998</v>
      </c>
      <c r="O76" s="10">
        <v>100</v>
      </c>
    </row>
    <row r="77" spans="1:15" ht="15" x14ac:dyDescent="0.15">
      <c r="A77" s="24" t="s">
        <v>401</v>
      </c>
      <c r="B77" s="24" t="s">
        <v>401</v>
      </c>
      <c r="C77" s="22">
        <v>74</v>
      </c>
      <c r="D77" s="17">
        <v>150</v>
      </c>
      <c r="E77" s="18">
        <f t="shared" si="11"/>
        <v>672.45447983311919</v>
      </c>
      <c r="F77" s="19">
        <v>2.5</v>
      </c>
      <c r="G77" s="20">
        <f t="shared" si="12"/>
        <v>137580.06913450776</v>
      </c>
      <c r="H77" s="20">
        <f t="shared" si="7"/>
        <v>718.67020807153551</v>
      </c>
      <c r="I77" s="20">
        <f t="shared" si="8"/>
        <v>2436475.4228401398</v>
      </c>
      <c r="J77" s="21">
        <f t="shared" si="9"/>
        <v>1218237.7114200699</v>
      </c>
      <c r="K77" s="21">
        <v>325</v>
      </c>
      <c r="L77" s="21">
        <v>1.5</v>
      </c>
      <c r="M77" s="21">
        <f t="shared" si="10"/>
        <v>24364.754228401398</v>
      </c>
      <c r="N77" s="21">
        <f t="shared" si="10"/>
        <v>12182.377114200699</v>
      </c>
      <c r="O77" s="10">
        <v>100</v>
      </c>
    </row>
    <row r="78" spans="1:15" ht="15" x14ac:dyDescent="0.15">
      <c r="A78" s="24" t="s">
        <v>402</v>
      </c>
      <c r="B78" s="24" t="s">
        <v>402</v>
      </c>
      <c r="C78" s="22">
        <v>75</v>
      </c>
      <c r="D78" s="17">
        <v>150</v>
      </c>
      <c r="E78" s="18">
        <f t="shared" si="11"/>
        <v>682.81675223228467</v>
      </c>
      <c r="F78" s="19">
        <v>2.5</v>
      </c>
      <c r="G78" s="20">
        <f t="shared" si="12"/>
        <v>151350.17604795855</v>
      </c>
      <c r="H78" s="20">
        <f t="shared" si="7"/>
        <v>755.65371847511233</v>
      </c>
      <c r="I78" s="20">
        <f t="shared" si="8"/>
        <v>2680342.965124154</v>
      </c>
      <c r="J78" s="21">
        <f t="shared" si="9"/>
        <v>1340171.482562077</v>
      </c>
      <c r="K78" s="21">
        <v>325</v>
      </c>
      <c r="L78" s="21">
        <v>1.5</v>
      </c>
      <c r="M78" s="21">
        <f t="shared" si="10"/>
        <v>26803.429651241542</v>
      </c>
      <c r="N78" s="21">
        <f t="shared" si="10"/>
        <v>13401.714825620771</v>
      </c>
      <c r="O78" s="10">
        <v>100</v>
      </c>
    </row>
    <row r="79" spans="1:15" ht="15" x14ac:dyDescent="0.15">
      <c r="A79" s="24" t="s">
        <v>403</v>
      </c>
      <c r="B79" s="24" t="s">
        <v>403</v>
      </c>
      <c r="C79" s="22">
        <v>76</v>
      </c>
      <c r="D79" s="17">
        <v>160</v>
      </c>
      <c r="E79" s="18">
        <f t="shared" si="11"/>
        <v>693.23083599344602</v>
      </c>
      <c r="F79" s="19">
        <v>2.5</v>
      </c>
      <c r="G79" s="20">
        <f t="shared" si="12"/>
        <v>166497.29365275442</v>
      </c>
      <c r="H79" s="20">
        <f t="shared" si="7"/>
        <v>794.48640439886799</v>
      </c>
      <c r="I79" s="20">
        <f t="shared" si="8"/>
        <v>2948597.2616365696</v>
      </c>
      <c r="J79" s="21">
        <f t="shared" si="9"/>
        <v>1474298.6308182848</v>
      </c>
      <c r="K79" s="21">
        <v>325</v>
      </c>
      <c r="L79" s="21">
        <v>1.5</v>
      </c>
      <c r="M79" s="21">
        <f t="shared" si="10"/>
        <v>29485.972616365696</v>
      </c>
      <c r="N79" s="21">
        <f t="shared" si="10"/>
        <v>14742.986308182848</v>
      </c>
      <c r="O79" s="10">
        <v>100</v>
      </c>
    </row>
    <row r="80" spans="1:15" ht="15" x14ac:dyDescent="0.15">
      <c r="A80" s="24" t="s">
        <v>404</v>
      </c>
      <c r="B80" s="24" t="s">
        <v>404</v>
      </c>
      <c r="C80" s="22">
        <v>77</v>
      </c>
      <c r="D80" s="17">
        <v>160</v>
      </c>
      <c r="E80" s="18">
        <f t="shared" si="11"/>
        <v>703.69699017341316</v>
      </c>
      <c r="F80" s="19">
        <v>2.5</v>
      </c>
      <c r="G80" s="20">
        <f t="shared" si="12"/>
        <v>183159.12301802987</v>
      </c>
      <c r="H80" s="20">
        <f t="shared" si="7"/>
        <v>835.26072461881142</v>
      </c>
      <c r="I80" s="20">
        <f t="shared" si="8"/>
        <v>3243676.987800227</v>
      </c>
      <c r="J80" s="21">
        <f t="shared" si="9"/>
        <v>1621838.4939001135</v>
      </c>
      <c r="K80" s="21">
        <v>325</v>
      </c>
      <c r="L80" s="21">
        <v>1.5</v>
      </c>
      <c r="M80" s="21">
        <f t="shared" si="10"/>
        <v>32436.769878002269</v>
      </c>
      <c r="N80" s="21">
        <f t="shared" si="10"/>
        <v>16218.384939001135</v>
      </c>
      <c r="O80" s="10">
        <v>100</v>
      </c>
    </row>
    <row r="81" spans="1:15" ht="15" x14ac:dyDescent="0.15">
      <c r="A81" s="24" t="s">
        <v>405</v>
      </c>
      <c r="B81" s="24" t="s">
        <v>405</v>
      </c>
      <c r="C81" s="22">
        <v>78</v>
      </c>
      <c r="D81" s="17">
        <v>160</v>
      </c>
      <c r="E81" s="18">
        <f t="shared" si="11"/>
        <v>714.21547512428015</v>
      </c>
      <c r="F81" s="19">
        <v>2.5</v>
      </c>
      <c r="G81" s="20">
        <f t="shared" si="12"/>
        <v>201487.13531983289</v>
      </c>
      <c r="H81" s="20">
        <f t="shared" si="7"/>
        <v>878.07376084975203</v>
      </c>
      <c r="I81" s="20">
        <f t="shared" si="8"/>
        <v>3568264.68658025</v>
      </c>
      <c r="J81" s="21">
        <f t="shared" si="9"/>
        <v>1784132.343290125</v>
      </c>
      <c r="K81" s="21">
        <v>325</v>
      </c>
      <c r="L81" s="21">
        <v>1.5</v>
      </c>
      <c r="M81" s="21">
        <f t="shared" si="10"/>
        <v>35682.646865802504</v>
      </c>
      <c r="N81" s="21">
        <f t="shared" si="10"/>
        <v>17841.323432901252</v>
      </c>
      <c r="O81" s="10">
        <v>100</v>
      </c>
    </row>
    <row r="82" spans="1:15" ht="15" x14ac:dyDescent="0.15">
      <c r="A82" s="24" t="s">
        <v>406</v>
      </c>
      <c r="B82" s="24" t="s">
        <v>406</v>
      </c>
      <c r="C82" s="22">
        <v>79</v>
      </c>
      <c r="D82" s="17">
        <v>160</v>
      </c>
      <c r="E82" s="18">
        <f t="shared" si="11"/>
        <v>724.78655249990152</v>
      </c>
      <c r="F82" s="19">
        <v>2.5</v>
      </c>
      <c r="G82" s="20">
        <f t="shared" si="12"/>
        <v>221647.94885181618</v>
      </c>
      <c r="H82" s="20">
        <f t="shared" si="7"/>
        <v>923.0274488922397</v>
      </c>
      <c r="I82" s="20">
        <f t="shared" si="8"/>
        <v>3925311.1552382754</v>
      </c>
      <c r="J82" s="21">
        <f t="shared" si="9"/>
        <v>1962655.5776191377</v>
      </c>
      <c r="K82" s="21">
        <v>325</v>
      </c>
      <c r="L82" s="21">
        <v>1.5</v>
      </c>
      <c r="M82" s="21">
        <f t="shared" si="10"/>
        <v>39253.111552382754</v>
      </c>
      <c r="N82" s="21">
        <f t="shared" si="10"/>
        <v>19626.555776191377</v>
      </c>
      <c r="O82" s="10">
        <v>100</v>
      </c>
    </row>
    <row r="83" spans="1:15" ht="15" x14ac:dyDescent="0.15">
      <c r="A83" s="24" t="s">
        <v>407</v>
      </c>
      <c r="B83" s="24" t="s">
        <v>407</v>
      </c>
      <c r="C83" s="22">
        <v>80</v>
      </c>
      <c r="D83" s="17">
        <v>160</v>
      </c>
      <c r="E83" s="18">
        <f t="shared" si="11"/>
        <v>735.41048526240093</v>
      </c>
      <c r="F83" s="19">
        <v>2.5</v>
      </c>
      <c r="G83" s="20">
        <f t="shared" si="12"/>
        <v>243824.84373699781</v>
      </c>
      <c r="H83" s="20">
        <f t="shared" si="7"/>
        <v>970.22882133685175</v>
      </c>
      <c r="I83" s="20">
        <f t="shared" si="8"/>
        <v>4318062.2707621036</v>
      </c>
      <c r="J83" s="21">
        <f t="shared" si="9"/>
        <v>2159031.1353810518</v>
      </c>
      <c r="K83" s="21">
        <v>325</v>
      </c>
      <c r="L83" s="21">
        <v>1.5</v>
      </c>
      <c r="M83" s="21">
        <f t="shared" si="10"/>
        <v>43180.622707621034</v>
      </c>
      <c r="N83" s="21">
        <f t="shared" si="10"/>
        <v>21590.311353810517</v>
      </c>
      <c r="O83" s="10">
        <v>100</v>
      </c>
    </row>
    <row r="84" spans="1:15" ht="15" x14ac:dyDescent="0.15">
      <c r="A84" s="24" t="s">
        <v>408</v>
      </c>
      <c r="B84" s="24" t="s">
        <v>408</v>
      </c>
      <c r="C84" s="22">
        <v>81</v>
      </c>
      <c r="D84" s="17">
        <v>170</v>
      </c>
      <c r="E84" s="18">
        <f t="shared" si="11"/>
        <v>746.08753768871281</v>
      </c>
      <c r="F84" s="19">
        <v>2.5</v>
      </c>
      <c r="G84" s="20">
        <f t="shared" si="12"/>
        <v>268219.4281106976</v>
      </c>
      <c r="H84" s="20">
        <f t="shared" si="7"/>
        <v>1019.7902624036943</v>
      </c>
      <c r="I84" s="20">
        <f t="shared" si="8"/>
        <v>4750088.4978383146</v>
      </c>
      <c r="J84" s="21">
        <f t="shared" si="9"/>
        <v>2375044.2489191573</v>
      </c>
      <c r="K84" s="21">
        <v>325</v>
      </c>
      <c r="L84" s="21">
        <v>1.5</v>
      </c>
      <c r="M84" s="21">
        <f t="shared" si="10"/>
        <v>47500.884978383147</v>
      </c>
      <c r="N84" s="21">
        <f t="shared" si="10"/>
        <v>23750.442489191573</v>
      </c>
      <c r="O84" s="10">
        <v>100</v>
      </c>
    </row>
    <row r="85" spans="1:15" ht="15" x14ac:dyDescent="0.15">
      <c r="A85" s="24" t="s">
        <v>409</v>
      </c>
      <c r="B85" s="24" t="s">
        <v>409</v>
      </c>
      <c r="C85" s="22">
        <v>82</v>
      </c>
      <c r="D85" s="17">
        <v>170</v>
      </c>
      <c r="E85" s="18">
        <f t="shared" si="11"/>
        <v>756.81797537715624</v>
      </c>
      <c r="F85" s="19">
        <v>2.5</v>
      </c>
      <c r="G85" s="20">
        <f t="shared" si="12"/>
        <v>295053.47092176741</v>
      </c>
      <c r="H85" s="20">
        <f t="shared" si="7"/>
        <v>1071.8297755238791</v>
      </c>
      <c r="I85" s="20">
        <f t="shared" si="8"/>
        <v>5225317.3476221468</v>
      </c>
      <c r="J85" s="21">
        <f t="shared" si="9"/>
        <v>2612658.6738110734</v>
      </c>
      <c r="K85" s="21">
        <v>325</v>
      </c>
      <c r="L85" s="21">
        <v>1.5</v>
      </c>
      <c r="M85" s="21">
        <f t="shared" si="10"/>
        <v>52253.173476221469</v>
      </c>
      <c r="N85" s="21">
        <f t="shared" si="10"/>
        <v>26126.586738110735</v>
      </c>
      <c r="O85" s="10">
        <v>100</v>
      </c>
    </row>
    <row r="86" spans="1:15" ht="15" x14ac:dyDescent="0.15">
      <c r="A86" s="24" t="s">
        <v>410</v>
      </c>
      <c r="B86" s="24" t="s">
        <v>410</v>
      </c>
      <c r="C86" s="22">
        <v>83</v>
      </c>
      <c r="D86" s="17">
        <v>170</v>
      </c>
      <c r="E86" s="18">
        <f t="shared" si="11"/>
        <v>767.60206525404192</v>
      </c>
      <c r="F86" s="19">
        <v>2.5</v>
      </c>
      <c r="G86" s="20">
        <f t="shared" si="12"/>
        <v>324570.91801394417</v>
      </c>
      <c r="H86" s="20">
        <f t="shared" si="7"/>
        <v>1126.471264300073</v>
      </c>
      <c r="I86" s="20">
        <f t="shared" si="8"/>
        <v>5748069.0823843619</v>
      </c>
      <c r="J86" s="21">
        <f t="shared" si="9"/>
        <v>2874034.5411921809</v>
      </c>
      <c r="K86" s="21">
        <v>325</v>
      </c>
      <c r="L86" s="21">
        <v>1.5</v>
      </c>
      <c r="M86" s="21">
        <f t="shared" si="10"/>
        <v>57480.690823843623</v>
      </c>
      <c r="N86" s="21">
        <f t="shared" si="10"/>
        <v>28740.345411921811</v>
      </c>
      <c r="O86" s="10">
        <v>100</v>
      </c>
    </row>
    <row r="87" spans="1:15" ht="15" x14ac:dyDescent="0.15">
      <c r="A87" s="24" t="s">
        <v>411</v>
      </c>
      <c r="B87" s="24" t="s">
        <v>411</v>
      </c>
      <c r="C87" s="22">
        <v>84</v>
      </c>
      <c r="D87" s="17">
        <v>170</v>
      </c>
      <c r="E87" s="18">
        <f t="shared" si="11"/>
        <v>778.44007558031205</v>
      </c>
      <c r="F87" s="19">
        <v>2.5</v>
      </c>
      <c r="G87" s="20">
        <f t="shared" si="12"/>
        <v>357040.10981533863</v>
      </c>
      <c r="H87" s="20">
        <f t="shared" si="7"/>
        <v>1183.8448275150768</v>
      </c>
      <c r="I87" s="20">
        <f t="shared" si="8"/>
        <v>6323095.9906227989</v>
      </c>
      <c r="J87" s="21">
        <f t="shared" si="9"/>
        <v>3161547.9953113995</v>
      </c>
      <c r="K87" s="21">
        <v>325</v>
      </c>
      <c r="L87" s="21">
        <v>1.5</v>
      </c>
      <c r="M87" s="21">
        <f t="shared" si="10"/>
        <v>63230.959906227989</v>
      </c>
      <c r="N87" s="21">
        <f t="shared" si="10"/>
        <v>31615.479953113994</v>
      </c>
      <c r="O87" s="10">
        <v>100</v>
      </c>
    </row>
    <row r="88" spans="1:15" ht="15" x14ac:dyDescent="0.15">
      <c r="A88" s="24" t="s">
        <v>412</v>
      </c>
      <c r="B88" s="24" t="s">
        <v>412</v>
      </c>
      <c r="C88" s="22">
        <v>85</v>
      </c>
      <c r="D88" s="17">
        <v>170</v>
      </c>
      <c r="E88" s="18">
        <f t="shared" si="11"/>
        <v>789.33227595821359</v>
      </c>
      <c r="F88" s="19">
        <v>2.5</v>
      </c>
      <c r="G88" s="20">
        <f t="shared" si="12"/>
        <v>392756.22079687251</v>
      </c>
      <c r="H88" s="20">
        <f t="shared" si="7"/>
        <v>1244.0870688908306</v>
      </c>
      <c r="I88" s="20">
        <f t="shared" si="8"/>
        <v>6955625.5896850796</v>
      </c>
      <c r="J88" s="21">
        <f t="shared" si="9"/>
        <v>3477812.7948425398</v>
      </c>
      <c r="K88" s="21">
        <v>325</v>
      </c>
      <c r="L88" s="21">
        <v>1.5</v>
      </c>
      <c r="M88" s="21">
        <f t="shared" si="10"/>
        <v>69556.255896850795</v>
      </c>
      <c r="N88" s="21">
        <f t="shared" si="10"/>
        <v>34778.127948425397</v>
      </c>
      <c r="O88" s="10">
        <v>100</v>
      </c>
    </row>
    <row r="89" spans="1:15" ht="15" x14ac:dyDescent="0.15">
      <c r="A89" s="24" t="s">
        <v>413</v>
      </c>
      <c r="B89" s="24" t="s">
        <v>413</v>
      </c>
      <c r="C89" s="22">
        <v>86</v>
      </c>
      <c r="D89" s="17">
        <v>180</v>
      </c>
      <c r="E89" s="18">
        <f t="shared" si="11"/>
        <v>800.27893733800454</v>
      </c>
      <c r="F89" s="19">
        <v>2.5</v>
      </c>
      <c r="G89" s="20">
        <f t="shared" si="12"/>
        <v>432043.9428765598</v>
      </c>
      <c r="H89" s="20">
        <f t="shared" si="7"/>
        <v>1307.341422335372</v>
      </c>
      <c r="I89" s="20">
        <f t="shared" si="8"/>
        <v>7651408.1486535883</v>
      </c>
      <c r="J89" s="21">
        <f t="shared" si="9"/>
        <v>3825704.0743267941</v>
      </c>
      <c r="K89" s="21">
        <v>325</v>
      </c>
      <c r="L89" s="21">
        <v>1.5</v>
      </c>
      <c r="M89" s="21">
        <f t="shared" si="10"/>
        <v>76514.081486535884</v>
      </c>
      <c r="N89" s="21">
        <f t="shared" si="10"/>
        <v>38257.040743267942</v>
      </c>
      <c r="O89" s="10">
        <v>100</v>
      </c>
    </row>
    <row r="90" spans="1:15" ht="15" x14ac:dyDescent="0.15">
      <c r="A90" s="24" t="s">
        <v>414</v>
      </c>
      <c r="B90" s="24" t="s">
        <v>414</v>
      </c>
      <c r="C90" s="22">
        <v>87</v>
      </c>
      <c r="D90" s="17">
        <v>180</v>
      </c>
      <c r="E90" s="18">
        <f t="shared" si="11"/>
        <v>811.28033202469453</v>
      </c>
      <c r="F90" s="19">
        <v>2.5</v>
      </c>
      <c r="G90" s="20">
        <f t="shared" si="12"/>
        <v>475260.43716421584</v>
      </c>
      <c r="H90" s="20">
        <f t="shared" si="7"/>
        <v>1373.7584934521408</v>
      </c>
      <c r="I90" s="20">
        <f t="shared" si="8"/>
        <v>8416768.9635189474</v>
      </c>
      <c r="J90" s="21">
        <f t="shared" si="9"/>
        <v>4208384.4817594737</v>
      </c>
      <c r="K90" s="21">
        <v>325</v>
      </c>
      <c r="L90" s="21">
        <v>1.5</v>
      </c>
      <c r="M90" s="21">
        <f t="shared" si="10"/>
        <v>84167.689635189468</v>
      </c>
      <c r="N90" s="21">
        <f t="shared" si="10"/>
        <v>42083.844817594734</v>
      </c>
      <c r="O90" s="10">
        <v>100</v>
      </c>
    </row>
    <row r="91" spans="1:15" ht="15" x14ac:dyDescent="0.15">
      <c r="A91" s="24" t="s">
        <v>415</v>
      </c>
      <c r="B91" s="24" t="s">
        <v>415</v>
      </c>
      <c r="C91" s="22">
        <v>88</v>
      </c>
      <c r="D91" s="17">
        <v>180</v>
      </c>
      <c r="E91" s="18">
        <f t="shared" si="11"/>
        <v>822.33673368481789</v>
      </c>
      <c r="F91" s="19">
        <v>2.5</v>
      </c>
      <c r="G91" s="20">
        <f t="shared" si="12"/>
        <v>522798.58088063746</v>
      </c>
      <c r="H91" s="20">
        <f t="shared" si="7"/>
        <v>1443.4964181247478</v>
      </c>
      <c r="I91" s="20">
        <f t="shared" si="8"/>
        <v>9258665.8598708436</v>
      </c>
      <c r="J91" s="21">
        <f t="shared" si="9"/>
        <v>4629332.9299354218</v>
      </c>
      <c r="K91" s="21">
        <v>325</v>
      </c>
      <c r="L91" s="21">
        <v>1.5</v>
      </c>
      <c r="M91" s="21">
        <f t="shared" si="10"/>
        <v>92586.65859870844</v>
      </c>
      <c r="N91" s="21">
        <f t="shared" si="10"/>
        <v>46293.32929935422</v>
      </c>
      <c r="O91" s="10">
        <v>100</v>
      </c>
    </row>
    <row r="92" spans="1:15" ht="15" x14ac:dyDescent="0.15">
      <c r="A92" s="24" t="s">
        <v>416</v>
      </c>
      <c r="B92" s="24" t="s">
        <v>416</v>
      </c>
      <c r="C92" s="22">
        <v>89</v>
      </c>
      <c r="D92" s="17">
        <v>180</v>
      </c>
      <c r="E92" s="18">
        <f t="shared" si="11"/>
        <v>833.44841735324189</v>
      </c>
      <c r="F92" s="19">
        <v>2.5</v>
      </c>
      <c r="G92" s="20">
        <f t="shared" si="12"/>
        <v>575090.53896870126</v>
      </c>
      <c r="H92" s="20">
        <f t="shared" si="7"/>
        <v>1516.7212390309853</v>
      </c>
      <c r="I92" s="20">
        <f t="shared" si="8"/>
        <v>10184752.445857929</v>
      </c>
      <c r="J92" s="21">
        <f t="shared" si="9"/>
        <v>5092376.2229289645</v>
      </c>
      <c r="K92" s="21">
        <v>325</v>
      </c>
      <c r="L92" s="21">
        <v>1.5</v>
      </c>
      <c r="M92" s="21">
        <f t="shared" si="10"/>
        <v>101847.5244585793</v>
      </c>
      <c r="N92" s="21">
        <f t="shared" si="10"/>
        <v>50923.762229289649</v>
      </c>
      <c r="O92" s="10">
        <v>100</v>
      </c>
    </row>
    <row r="93" spans="1:15" ht="15" x14ac:dyDescent="0.15">
      <c r="A93" s="24" t="s">
        <v>417</v>
      </c>
      <c r="B93" s="24" t="s">
        <v>417</v>
      </c>
      <c r="C93" s="22">
        <v>90</v>
      </c>
      <c r="D93" s="17">
        <v>180</v>
      </c>
      <c r="E93" s="18">
        <f t="shared" si="11"/>
        <v>844.61565944000802</v>
      </c>
      <c r="F93" s="19">
        <v>2.5</v>
      </c>
      <c r="G93" s="20">
        <f t="shared" si="12"/>
        <v>632611.69286557147</v>
      </c>
      <c r="H93" s="20">
        <f t="shared" si="7"/>
        <v>1593.6073009825348</v>
      </c>
      <c r="I93" s="20">
        <f t="shared" si="8"/>
        <v>11203447.690443723</v>
      </c>
      <c r="J93" s="21">
        <f t="shared" si="9"/>
        <v>5601723.8452218613</v>
      </c>
      <c r="K93" s="21">
        <v>325</v>
      </c>
      <c r="L93" s="21">
        <v>1.5</v>
      </c>
      <c r="M93" s="21">
        <f t="shared" si="10"/>
        <v>112034.47690443722</v>
      </c>
      <c r="N93" s="21">
        <f t="shared" si="10"/>
        <v>56017.238452218611</v>
      </c>
      <c r="O93" s="10">
        <v>100</v>
      </c>
    </row>
    <row r="94" spans="1:15" ht="15" x14ac:dyDescent="0.15">
      <c r="A94" s="24" t="s">
        <v>418</v>
      </c>
      <c r="B94" s="24" t="s">
        <v>418</v>
      </c>
      <c r="C94" s="22">
        <v>91</v>
      </c>
      <c r="D94" s="17">
        <v>190</v>
      </c>
      <c r="E94" s="18">
        <f t="shared" si="11"/>
        <v>855.83873773720802</v>
      </c>
      <c r="F94" s="19">
        <v>2.5</v>
      </c>
      <c r="G94" s="20">
        <f t="shared" si="12"/>
        <v>695884.96215212869</v>
      </c>
      <c r="H94" s="20">
        <f t="shared" si="7"/>
        <v>1674.3376660316615</v>
      </c>
      <c r="I94" s="20">
        <f t="shared" si="8"/>
        <v>12324012.459488096</v>
      </c>
      <c r="J94" s="21">
        <f t="shared" si="9"/>
        <v>6162006.2297440479</v>
      </c>
      <c r="K94" s="21">
        <v>325</v>
      </c>
      <c r="L94" s="21">
        <v>1.5</v>
      </c>
      <c r="M94" s="21">
        <f t="shared" si="10"/>
        <v>123240.12459488097</v>
      </c>
      <c r="N94" s="21">
        <f t="shared" si="10"/>
        <v>61620.062297440483</v>
      </c>
      <c r="O94" s="10">
        <v>100</v>
      </c>
    </row>
    <row r="95" spans="1:15" ht="15" x14ac:dyDescent="0.15">
      <c r="A95" s="24" t="s">
        <v>419</v>
      </c>
      <c r="B95" s="24" t="s">
        <v>419</v>
      </c>
      <c r="C95" s="22">
        <v>92</v>
      </c>
      <c r="D95" s="17">
        <v>190</v>
      </c>
      <c r="E95" s="18">
        <f t="shared" si="11"/>
        <v>867.11793142589397</v>
      </c>
      <c r="F95" s="19">
        <v>2.5</v>
      </c>
      <c r="G95" s="20">
        <f t="shared" si="12"/>
        <v>765485.55836734164</v>
      </c>
      <c r="H95" s="20">
        <f t="shared" si="7"/>
        <v>1759.1045493332447</v>
      </c>
      <c r="I95" s="20">
        <f t="shared" si="8"/>
        <v>13556633.705436906</v>
      </c>
      <c r="J95" s="21">
        <f t="shared" si="9"/>
        <v>6778316.8527184529</v>
      </c>
      <c r="K95" s="21">
        <v>325</v>
      </c>
      <c r="L95" s="21">
        <v>1.5</v>
      </c>
      <c r="M95" s="21">
        <f t="shared" si="10"/>
        <v>135566.33705436907</v>
      </c>
      <c r="N95" s="21">
        <f t="shared" si="10"/>
        <v>67783.168527184534</v>
      </c>
      <c r="O95" s="10">
        <v>100</v>
      </c>
    </row>
    <row r="96" spans="1:15" ht="15" x14ac:dyDescent="0.15">
      <c r="A96" s="24" t="s">
        <v>420</v>
      </c>
      <c r="B96" s="24" t="s">
        <v>420</v>
      </c>
      <c r="C96" s="22">
        <v>93</v>
      </c>
      <c r="D96" s="17">
        <v>190</v>
      </c>
      <c r="E96" s="18">
        <f t="shared" si="11"/>
        <v>878.45352108302336</v>
      </c>
      <c r="F96" s="19">
        <v>2.5</v>
      </c>
      <c r="G96" s="20">
        <f t="shared" si="12"/>
        <v>842046.21420407586</v>
      </c>
      <c r="H96" s="20">
        <f t="shared" si="7"/>
        <v>1848.109776799907</v>
      </c>
      <c r="I96" s="20">
        <f t="shared" si="8"/>
        <v>14912517.075980598</v>
      </c>
      <c r="J96" s="21">
        <f t="shared" si="9"/>
        <v>7456258.5379902991</v>
      </c>
      <c r="K96" s="21">
        <v>325</v>
      </c>
      <c r="L96" s="21">
        <v>1.5</v>
      </c>
      <c r="M96" s="21">
        <f t="shared" si="10"/>
        <v>149125.17075980597</v>
      </c>
      <c r="N96" s="21">
        <f t="shared" si="10"/>
        <v>74562.585379902986</v>
      </c>
      <c r="O96" s="10">
        <v>100</v>
      </c>
    </row>
    <row r="97" spans="1:15" ht="15" x14ac:dyDescent="0.15">
      <c r="A97" s="24" t="s">
        <v>421</v>
      </c>
      <c r="B97" s="24" t="s">
        <v>421</v>
      </c>
      <c r="C97" s="22">
        <v>94</v>
      </c>
      <c r="D97" s="17">
        <v>190</v>
      </c>
      <c r="E97" s="18">
        <f t="shared" si="11"/>
        <v>889.84578868843835</v>
      </c>
      <c r="F97" s="19">
        <v>2.5</v>
      </c>
      <c r="G97" s="20">
        <f t="shared" si="12"/>
        <v>926262.93562448351</v>
      </c>
      <c r="H97" s="20">
        <f t="shared" si="7"/>
        <v>1941.5652656399025</v>
      </c>
      <c r="I97" s="20">
        <f t="shared" si="8"/>
        <v>16403988.783578658</v>
      </c>
      <c r="J97" s="21">
        <f t="shared" si="9"/>
        <v>8201994.3917893292</v>
      </c>
      <c r="K97" s="21">
        <v>325</v>
      </c>
      <c r="L97" s="21">
        <v>1.5</v>
      </c>
      <c r="M97" s="21">
        <f t="shared" si="10"/>
        <v>164039.88783578659</v>
      </c>
      <c r="N97" s="21">
        <f t="shared" si="10"/>
        <v>82019.943917893295</v>
      </c>
      <c r="O97" s="10">
        <v>100</v>
      </c>
    </row>
    <row r="98" spans="1:15" ht="15" x14ac:dyDescent="0.15">
      <c r="A98" s="24" t="s">
        <v>422</v>
      </c>
      <c r="B98" s="24" t="s">
        <v>422</v>
      </c>
      <c r="C98" s="22">
        <v>95</v>
      </c>
      <c r="D98" s="17">
        <v>190</v>
      </c>
      <c r="E98" s="18">
        <f t="shared" si="11"/>
        <v>901.29501763188046</v>
      </c>
      <c r="F98" s="19">
        <v>2.5</v>
      </c>
      <c r="G98" s="20">
        <f t="shared" si="12"/>
        <v>1018901.329186932</v>
      </c>
      <c r="H98" s="20">
        <f t="shared" si="7"/>
        <v>2039.6935289218977</v>
      </c>
      <c r="I98" s="20">
        <f t="shared" si="8"/>
        <v>18044607.661936525</v>
      </c>
      <c r="J98" s="21">
        <f t="shared" si="9"/>
        <v>9022303.8309682626</v>
      </c>
      <c r="K98" s="21">
        <v>325</v>
      </c>
      <c r="L98" s="21">
        <v>1.5</v>
      </c>
      <c r="M98" s="21">
        <f t="shared" si="10"/>
        <v>180446.07661936525</v>
      </c>
      <c r="N98" s="21">
        <f t="shared" si="10"/>
        <v>90223.038309682626</v>
      </c>
      <c r="O98" s="10">
        <v>100</v>
      </c>
    </row>
    <row r="99" spans="1:15" ht="15" x14ac:dyDescent="0.15">
      <c r="A99" s="24" t="s">
        <v>423</v>
      </c>
      <c r="B99" s="24" t="s">
        <v>423</v>
      </c>
      <c r="C99" s="22">
        <v>96</v>
      </c>
      <c r="D99" s="17">
        <v>200</v>
      </c>
      <c r="E99" s="18">
        <f t="shared" si="11"/>
        <v>912.80149272003973</v>
      </c>
      <c r="F99" s="19">
        <v>2.5</v>
      </c>
      <c r="G99" s="20">
        <f t="shared" si="12"/>
        <v>1120803.5621056252</v>
      </c>
      <c r="H99" s="20">
        <f t="shared" si="7"/>
        <v>2142.7282053679928</v>
      </c>
      <c r="I99" s="20">
        <f t="shared" si="8"/>
        <v>19849288.42813018</v>
      </c>
      <c r="J99" s="21">
        <f t="shared" si="9"/>
        <v>9924644.2140650898</v>
      </c>
      <c r="K99" s="21">
        <v>325</v>
      </c>
      <c r="L99" s="21">
        <v>1.5</v>
      </c>
      <c r="M99" s="21">
        <f t="shared" si="10"/>
        <v>198492.88428130181</v>
      </c>
      <c r="N99" s="21">
        <f t="shared" si="10"/>
        <v>99246.442140650906</v>
      </c>
      <c r="O99" s="10">
        <v>100</v>
      </c>
    </row>
    <row r="100" spans="1:15" ht="15" x14ac:dyDescent="0.15">
      <c r="A100" s="24" t="s">
        <v>424</v>
      </c>
      <c r="B100" s="24" t="s">
        <v>424</v>
      </c>
      <c r="C100" s="22">
        <v>97</v>
      </c>
      <c r="D100" s="17">
        <v>200</v>
      </c>
      <c r="E100" s="18">
        <f t="shared" si="11"/>
        <v>924.36550018363982</v>
      </c>
      <c r="F100" s="19">
        <v>2.5</v>
      </c>
      <c r="G100" s="20">
        <f t="shared" si="12"/>
        <v>1232896.0183161879</v>
      </c>
      <c r="H100" s="20">
        <f t="shared" si="7"/>
        <v>2250.9146156363927</v>
      </c>
      <c r="I100" s="20">
        <f t="shared" si="8"/>
        <v>21834437.270943198</v>
      </c>
      <c r="J100" s="21">
        <f t="shared" si="9"/>
        <v>10917218.635471599</v>
      </c>
      <c r="K100" s="21">
        <v>325</v>
      </c>
      <c r="L100" s="21">
        <v>1.5</v>
      </c>
      <c r="M100" s="21">
        <f t="shared" si="10"/>
        <v>218344.37270943198</v>
      </c>
      <c r="N100" s="21">
        <f t="shared" si="10"/>
        <v>109172.18635471599</v>
      </c>
      <c r="O100" s="10">
        <v>100</v>
      </c>
    </row>
    <row r="101" spans="1:15" ht="15" x14ac:dyDescent="0.15">
      <c r="A101" s="24" t="s">
        <v>425</v>
      </c>
      <c r="B101" s="24" t="s">
        <v>425</v>
      </c>
      <c r="C101" s="22">
        <v>98</v>
      </c>
      <c r="D101" s="17">
        <v>200</v>
      </c>
      <c r="E101" s="18">
        <f t="shared" si="11"/>
        <v>935.98732768455795</v>
      </c>
      <c r="F101" s="19">
        <v>2.5</v>
      </c>
      <c r="G101" s="20">
        <f t="shared" si="12"/>
        <v>1356197.7201478067</v>
      </c>
      <c r="H101" s="20">
        <f t="shared" si="7"/>
        <v>2364.5103464182125</v>
      </c>
      <c r="I101" s="20">
        <f t="shared" si="8"/>
        <v>24018100.998037521</v>
      </c>
      <c r="J101" s="21">
        <f t="shared" si="9"/>
        <v>12009050.49901876</v>
      </c>
      <c r="K101" s="21">
        <v>325</v>
      </c>
      <c r="L101" s="21">
        <v>1.5</v>
      </c>
      <c r="M101" s="21">
        <f t="shared" si="10"/>
        <v>240181.00998037521</v>
      </c>
      <c r="N101" s="21">
        <f t="shared" si="10"/>
        <v>120090.5049901876</v>
      </c>
      <c r="O101" s="10">
        <v>100</v>
      </c>
    </row>
    <row r="102" spans="1:15" ht="15" x14ac:dyDescent="0.15">
      <c r="A102" s="24" t="s">
        <v>426</v>
      </c>
      <c r="B102" s="24" t="s">
        <v>426</v>
      </c>
      <c r="C102" s="22">
        <v>99</v>
      </c>
      <c r="D102" s="17">
        <v>200</v>
      </c>
      <c r="E102" s="18">
        <f t="shared" si="11"/>
        <v>947.6672643229806</v>
      </c>
      <c r="F102" s="19">
        <v>2.5</v>
      </c>
      <c r="G102" s="20">
        <f t="shared" si="12"/>
        <v>1491829.5921625874</v>
      </c>
      <c r="H102" s="20">
        <f t="shared" si="7"/>
        <v>2483.7858637391232</v>
      </c>
      <c r="I102" s="20">
        <f t="shared" si="8"/>
        <v>26420131.097841274</v>
      </c>
      <c r="J102" s="21">
        <f t="shared" si="9"/>
        <v>13210065.548920637</v>
      </c>
      <c r="K102" s="21">
        <v>325</v>
      </c>
      <c r="L102" s="21">
        <v>1.5</v>
      </c>
      <c r="M102" s="21">
        <f t="shared" si="10"/>
        <v>264201.31097841274</v>
      </c>
      <c r="N102" s="21">
        <f t="shared" si="10"/>
        <v>132100.65548920637</v>
      </c>
      <c r="O102" s="10">
        <v>100</v>
      </c>
    </row>
    <row r="103" spans="1:15" ht="15" x14ac:dyDescent="0.15">
      <c r="A103" s="24" t="s">
        <v>427</v>
      </c>
      <c r="B103" s="24" t="s">
        <v>427</v>
      </c>
      <c r="C103" s="22">
        <v>100</v>
      </c>
      <c r="D103" s="17">
        <v>200</v>
      </c>
      <c r="E103" s="18">
        <f t="shared" si="11"/>
        <v>959.40560064459544</v>
      </c>
      <c r="F103" s="19">
        <v>2.5</v>
      </c>
      <c r="G103" s="20">
        <f t="shared" si="12"/>
        <v>1641024.6513788463</v>
      </c>
      <c r="H103" s="20">
        <f t="shared" si="7"/>
        <v>2609.0251569260795</v>
      </c>
      <c r="I103" s="20">
        <f t="shared" si="8"/>
        <v>29062364.207625404</v>
      </c>
      <c r="J103" s="21">
        <f t="shared" si="9"/>
        <v>14531182.103812702</v>
      </c>
      <c r="K103" s="21">
        <v>325</v>
      </c>
      <c r="L103" s="21">
        <v>1.5</v>
      </c>
      <c r="M103" s="21">
        <f t="shared" si="10"/>
        <v>290623.64207625407</v>
      </c>
      <c r="N103" s="21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2019-02-22T13:16:13Z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