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B0A683BF-3B63-4C5E-8932-E8AF9D3ECFAC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H100" i="30" l="1"/>
  <c r="M113" i="30" l="1"/>
  <c r="N125" i="30"/>
  <c r="M125" i="30"/>
  <c r="J125" i="30"/>
  <c r="I125" i="30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<sst xmlns="http://schemas.openxmlformats.org/spreadsheetml/2006/main" count="922" uniqueCount="567">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</sst>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K17" sqref="K17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  <row r="112" spans="1:8" ht="15" x14ac:dyDescent="0.15">
      <c r="A112" s="31" t="s">
        <v>564</v>
      </c>
      <c r="B112" s="23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workbookViewId="0">
      <selection activeCell="E5" sqref="E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31" t="s">
        <v>564</v>
      </c>
      <c r="B112" s="12" t="s">
        <v>565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abSelected="1" topLeftCell="A84" workbookViewId="0">
      <selection activeCell="H101" sqref="H101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9.5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1.5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v>45.16</v>
      </c>
      <c r="F5" s="17">
        <v>1.5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v>50.34064</v>
      </c>
      <c r="F6" s="17">
        <v>1.5</v>
      </c>
      <c r="G6" s="18">
        <f t="shared" ref="G6:G69" si="5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v>55.54200256</v>
      </c>
      <c r="F7" s="17">
        <v>1.5</v>
      </c>
      <c r="G7" s="18">
        <f t="shared" si="5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v>60.764170570239997</v>
      </c>
      <c r="F8" s="17">
        <v>1.5</v>
      </c>
      <c r="G8" s="18">
        <f t="shared" si="5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v>66.007227252520906</v>
      </c>
      <c r="F9" s="17">
        <v>1.5</v>
      </c>
      <c r="G9" s="18">
        <f t="shared" si="5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v>71.271256161530999</v>
      </c>
      <c r="F10" s="17">
        <v>1.5</v>
      </c>
      <c r="G10" s="18">
        <f t="shared" si="5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v>76.556341186177093</v>
      </c>
      <c r="F11" s="17">
        <v>1.5</v>
      </c>
      <c r="G11" s="18">
        <f t="shared" si="5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v>81.862566550921898</v>
      </c>
      <c r="F12" s="17">
        <v>1.5</v>
      </c>
      <c r="G12" s="18">
        <f t="shared" si="5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v>87.190016817125496</v>
      </c>
      <c r="F13" s="17">
        <v>1.5</v>
      </c>
      <c r="G13" s="18">
        <f t="shared" si="5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v>92.538776884393997</v>
      </c>
      <c r="F14" s="17">
        <v>1.5</v>
      </c>
      <c r="G14" s="18">
        <f t="shared" si="5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v>97.908931991931595</v>
      </c>
      <c r="F15" s="17">
        <v>1.5</v>
      </c>
      <c r="G15" s="18">
        <f t="shared" si="5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v>103.30056771989901</v>
      </c>
      <c r="F16" s="17">
        <v>1.5</v>
      </c>
      <c r="G16" s="18">
        <f t="shared" si="5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v>108.713769990779</v>
      </c>
      <c r="F17" s="17">
        <v>1.5</v>
      </c>
      <c r="G17" s="18">
        <f t="shared" si="5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v>114.148625070742</v>
      </c>
      <c r="F18" s="17">
        <v>1.5</v>
      </c>
      <c r="G18" s="18">
        <f t="shared" si="5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v>119.605219571025</v>
      </c>
      <c r="F19" s="17">
        <v>1.5</v>
      </c>
      <c r="G19" s="18">
        <f t="shared" si="5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v>125.083640449309</v>
      </c>
      <c r="F20" s="17">
        <v>1.5</v>
      </c>
      <c r="G20" s="18">
        <f t="shared" si="5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v>130.58397501110599</v>
      </c>
      <c r="F21" s="17">
        <v>1.5</v>
      </c>
      <c r="G21" s="18">
        <f t="shared" si="5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v>136.10631091115101</v>
      </c>
      <c r="F22" s="17">
        <v>1.5</v>
      </c>
      <c r="G22" s="18">
        <f t="shared" si="5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v>141.650736154795</v>
      </c>
      <c r="F23" s="17">
        <v>1.5</v>
      </c>
      <c r="G23" s="18">
        <f t="shared" si="5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v>147.217339099415</v>
      </c>
      <c r="F24" s="17">
        <v>1.5</v>
      </c>
      <c r="G24" s="18">
        <f t="shared" si="5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v>152.806208455812</v>
      </c>
      <c r="F25" s="17">
        <v>1.5</v>
      </c>
      <c r="G25" s="18">
        <f t="shared" si="5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v>158.417433289635</v>
      </c>
      <c r="F26" s="17">
        <v>1.5</v>
      </c>
      <c r="G26" s="18">
        <f t="shared" si="5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v>164.051103022794</v>
      </c>
      <c r="F27" s="17">
        <v>1.5</v>
      </c>
      <c r="G27" s="18">
        <f t="shared" si="5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v>169.707307434885</v>
      </c>
      <c r="F28" s="17">
        <v>1.5</v>
      </c>
      <c r="G28" s="18">
        <f t="shared" si="5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v>175.38613666462501</v>
      </c>
      <c r="F29" s="17">
        <v>1.5</v>
      </c>
      <c r="G29" s="18">
        <f t="shared" si="5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v>181.08768121128301</v>
      </c>
      <c r="F30" s="17">
        <v>1.5</v>
      </c>
      <c r="G30" s="18">
        <f t="shared" si="5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v>186.81203193612799</v>
      </c>
      <c r="F31" s="17">
        <v>1.5</v>
      </c>
      <c r="G31" s="18">
        <f t="shared" si="5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v>192.55928006387299</v>
      </c>
      <c r="F32" s="17">
        <v>1.5</v>
      </c>
      <c r="G32" s="18">
        <f t="shared" si="5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v>198.32951718412801</v>
      </c>
      <c r="F33" s="17">
        <v>1.5</v>
      </c>
      <c r="G33" s="18">
        <f t="shared" si="5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v>204.122835252865</v>
      </c>
      <c r="F34" s="17">
        <v>1.5</v>
      </c>
      <c r="G34" s="18">
        <f t="shared" si="5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v>209.93932659387599</v>
      </c>
      <c r="F35" s="17">
        <v>1.5</v>
      </c>
      <c r="G35" s="18">
        <f t="shared" si="5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v>215.779083900252</v>
      </c>
      <c r="F36" s="17">
        <v>1.5</v>
      </c>
      <c r="G36" s="18">
        <f t="shared" si="5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v>221.64220023585301</v>
      </c>
      <c r="F37" s="17">
        <v>1.5</v>
      </c>
      <c r="G37" s="18">
        <f t="shared" si="5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6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v>227.52876903679601</v>
      </c>
      <c r="F38" s="17">
        <v>1.5</v>
      </c>
      <c r="G38" s="18">
        <f t="shared" si="5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6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v>233.43888411294299</v>
      </c>
      <c r="F39" s="17">
        <v>1.5</v>
      </c>
      <c r="G39" s="18">
        <f t="shared" si="5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6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v>239.37263964939501</v>
      </c>
      <c r="F40" s="17">
        <v>1.5</v>
      </c>
      <c r="G40" s="18">
        <f t="shared" si="5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6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v>245.33013020799299</v>
      </c>
      <c r="F41" s="17">
        <v>1.5</v>
      </c>
      <c r="G41" s="18">
        <f t="shared" si="5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6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v>251.31145072882501</v>
      </c>
      <c r="F42" s="17">
        <v>1.5</v>
      </c>
      <c r="G42" s="18">
        <f t="shared" si="5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6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v>257.31669653173998</v>
      </c>
      <c r="F43" s="17">
        <v>1.5</v>
      </c>
      <c r="G43" s="18">
        <f t="shared" si="5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6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v>263.34596331786702</v>
      </c>
      <c r="F44" s="17">
        <v>1.5</v>
      </c>
      <c r="G44" s="18">
        <f t="shared" si="5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6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v>269.39934717113903</v>
      </c>
      <c r="F45" s="17">
        <v>1.5</v>
      </c>
      <c r="G45" s="18">
        <f t="shared" si="5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6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v>275.47694455982298</v>
      </c>
      <c r="F46" s="17">
        <v>1.5</v>
      </c>
      <c r="G46" s="18">
        <f t="shared" si="5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6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v>281.57885233806201</v>
      </c>
      <c r="F47" s="17">
        <v>1.5</v>
      </c>
      <c r="G47" s="18">
        <f t="shared" si="5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6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v>287.70516774741498</v>
      </c>
      <c r="F48" s="17">
        <v>1.5</v>
      </c>
      <c r="G48" s="18">
        <f t="shared" si="5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6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v>293.85598841840402</v>
      </c>
      <c r="F49" s="17">
        <v>1.5</v>
      </c>
      <c r="G49" s="18">
        <f t="shared" si="5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6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v>300.03141237207802</v>
      </c>
      <c r="F50" s="17">
        <v>1.5</v>
      </c>
      <c r="G50" s="18">
        <f t="shared" si="5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6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v>306.231538021566</v>
      </c>
      <c r="F51" s="17">
        <v>1.5</v>
      </c>
      <c r="G51" s="18">
        <f t="shared" si="5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6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v>312.45646417365299</v>
      </c>
      <c r="F52" s="17">
        <v>1.5</v>
      </c>
      <c r="G52" s="18">
        <f t="shared" si="5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6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v>318.70629003034702</v>
      </c>
      <c r="F53" s="17">
        <v>1.5</v>
      </c>
      <c r="G53" s="18">
        <f t="shared" si="5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6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v>324.98111519046898</v>
      </c>
      <c r="F54" s="17">
        <v>1.5</v>
      </c>
      <c r="G54" s="18">
        <f t="shared" si="5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6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v>331.28103965123</v>
      </c>
      <c r="F55" s="17">
        <v>1.5</v>
      </c>
      <c r="G55" s="18">
        <f t="shared" si="5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6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v>337.60616380983498</v>
      </c>
      <c r="F56" s="17">
        <v>1.5</v>
      </c>
      <c r="G56" s="18">
        <f t="shared" si="5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6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v>343.95658846507501</v>
      </c>
      <c r="F57" s="17">
        <v>1.5</v>
      </c>
      <c r="G57" s="18">
        <f t="shared" si="5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6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v>350.33241481893498</v>
      </c>
      <c r="F58" s="17">
        <v>1.5</v>
      </c>
      <c r="G58" s="18">
        <f t="shared" si="5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6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v>356.73374447821101</v>
      </c>
      <c r="F59" s="17">
        <v>1.5</v>
      </c>
      <c r="G59" s="18">
        <f t="shared" si="5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6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v>363.160679456124</v>
      </c>
      <c r="F60" s="17">
        <v>1.5</v>
      </c>
      <c r="G60" s="18">
        <f t="shared" si="5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6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v>369.61332217394801</v>
      </c>
      <c r="F61" s="17">
        <v>1.5</v>
      </c>
      <c r="G61" s="18">
        <f t="shared" si="5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6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v>376.09177546264402</v>
      </c>
      <c r="F62" s="17">
        <v>1.5</v>
      </c>
      <c r="G62" s="18">
        <f t="shared" si="5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6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v>382.59614256449402</v>
      </c>
      <c r="F63" s="17">
        <v>1.5</v>
      </c>
      <c r="G63" s="18">
        <f t="shared" si="5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6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v>389.126527134752</v>
      </c>
      <c r="F64" s="17">
        <v>1.5</v>
      </c>
      <c r="G64" s="18">
        <f t="shared" si="5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6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v>395.68303324329099</v>
      </c>
      <c r="F65" s="17">
        <v>1.5</v>
      </c>
      <c r="G65" s="18">
        <f t="shared" si="5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6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v>400</v>
      </c>
      <c r="F66" s="17">
        <v>1.5</v>
      </c>
      <c r="G66" s="18">
        <f t="shared" si="5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6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v>400</v>
      </c>
      <c r="F67" s="17">
        <v>1.5</v>
      </c>
      <c r="G67" s="18">
        <f t="shared" si="5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6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v>400</v>
      </c>
      <c r="F68" s="17">
        <v>1.5</v>
      </c>
      <c r="G68" s="18">
        <f t="shared" si="5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6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v>400</v>
      </c>
      <c r="F69" s="17">
        <v>1.5</v>
      </c>
      <c r="G69" s="18">
        <f t="shared" si="5"/>
        <v>64117.565014018568</v>
      </c>
      <c r="H69" s="18">
        <f t="shared" ref="H69:H103" si="7">(H68+1)*1.05</f>
        <v>479.63791174276423</v>
      </c>
      <c r="I69" s="18">
        <f t="shared" ref="I69:I103" si="8">(I68+200)*1.1</f>
        <v>1135460.0826910166</v>
      </c>
      <c r="J69" s="16">
        <f t="shared" ref="J69:J103" si="9">I69/2</f>
        <v>567730.0413455083</v>
      </c>
      <c r="K69" s="16">
        <v>325</v>
      </c>
      <c r="L69" s="16">
        <v>1.5</v>
      </c>
      <c r="M69" s="16">
        <f t="shared" ref="M69:M103" si="10">I69*0.01*0.75</f>
        <v>8515.9506201826243</v>
      </c>
      <c r="N69" s="16">
        <f t="shared" ref="N69:N103" si="11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v>400</v>
      </c>
      <c r="F70" s="17">
        <v>1.5</v>
      </c>
      <c r="G70" s="18">
        <f t="shared" ref="G70:G103" si="12">(G69+11)*1.1</f>
        <v>70541.421515420428</v>
      </c>
      <c r="H70" s="18">
        <f t="shared" si="7"/>
        <v>504.66980732990248</v>
      </c>
      <c r="I70" s="18">
        <f t="shared" si="8"/>
        <v>1249226.0909601185</v>
      </c>
      <c r="J70" s="16">
        <f t="shared" si="9"/>
        <v>624613.04548005923</v>
      </c>
      <c r="K70" s="16">
        <v>325</v>
      </c>
      <c r="L70" s="16">
        <v>1.5</v>
      </c>
      <c r="M70" s="16">
        <f t="shared" si="10"/>
        <v>9369.1956822008888</v>
      </c>
      <c r="N70" s="16">
        <f t="shared" si="11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v>400</v>
      </c>
      <c r="F71" s="17">
        <v>1.5</v>
      </c>
      <c r="G71" s="18">
        <f t="shared" si="12"/>
        <v>77607.663666962471</v>
      </c>
      <c r="H71" s="18">
        <f t="shared" si="7"/>
        <v>530.95329769639761</v>
      </c>
      <c r="I71" s="18">
        <f t="shared" si="8"/>
        <v>1374368.7000561303</v>
      </c>
      <c r="J71" s="16">
        <f t="shared" si="9"/>
        <v>687184.35002806515</v>
      </c>
      <c r="K71" s="16">
        <v>325</v>
      </c>
      <c r="L71" s="16">
        <v>1.5</v>
      </c>
      <c r="M71" s="16">
        <f t="shared" si="10"/>
        <v>10307.765250420978</v>
      </c>
      <c r="N71" s="16">
        <f t="shared" si="11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v>400</v>
      </c>
      <c r="F72" s="17">
        <v>1.5</v>
      </c>
      <c r="G72" s="18">
        <f t="shared" si="12"/>
        <v>85380.530033658724</v>
      </c>
      <c r="H72" s="18">
        <f t="shared" si="7"/>
        <v>558.5509625812175</v>
      </c>
      <c r="I72" s="18">
        <f t="shared" si="8"/>
        <v>1512025.5700617435</v>
      </c>
      <c r="J72" s="16">
        <f t="shared" si="9"/>
        <v>756012.78503087175</v>
      </c>
      <c r="K72" s="16">
        <v>325</v>
      </c>
      <c r="L72" s="16">
        <v>1.5</v>
      </c>
      <c r="M72" s="16">
        <f t="shared" si="10"/>
        <v>11340.191775463078</v>
      </c>
      <c r="N72" s="16">
        <f t="shared" si="11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v>400</v>
      </c>
      <c r="F73" s="17">
        <v>1.5</v>
      </c>
      <c r="G73" s="18">
        <f t="shared" si="12"/>
        <v>93930.683037024603</v>
      </c>
      <c r="H73" s="18">
        <f t="shared" si="7"/>
        <v>587.5285107102784</v>
      </c>
      <c r="I73" s="18">
        <f t="shared" si="8"/>
        <v>1663448.127067918</v>
      </c>
      <c r="J73" s="16">
        <f t="shared" si="9"/>
        <v>831724.06353395898</v>
      </c>
      <c r="K73" s="16">
        <v>325</v>
      </c>
      <c r="L73" s="16">
        <v>1.5</v>
      </c>
      <c r="M73" s="16">
        <f t="shared" si="10"/>
        <v>12475.860953009384</v>
      </c>
      <c r="N73" s="16">
        <f t="shared" si="11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v>400</v>
      </c>
      <c r="F74" s="17">
        <v>1.5</v>
      </c>
      <c r="G74" s="18">
        <f t="shared" si="12"/>
        <v>103335.85134072707</v>
      </c>
      <c r="H74" s="18">
        <f t="shared" si="7"/>
        <v>617.9549362457924</v>
      </c>
      <c r="I74" s="18">
        <f t="shared" si="8"/>
        <v>1830012.93977471</v>
      </c>
      <c r="J74" s="16">
        <f t="shared" si="9"/>
        <v>915006.46988735499</v>
      </c>
      <c r="K74" s="16">
        <v>325</v>
      </c>
      <c r="L74" s="16">
        <v>1.5</v>
      </c>
      <c r="M74" s="16">
        <f t="shared" si="10"/>
        <v>13725.097048310325</v>
      </c>
      <c r="N74" s="16">
        <f t="shared" si="11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v>400</v>
      </c>
      <c r="F75" s="17">
        <v>1.5</v>
      </c>
      <c r="G75" s="18">
        <f t="shared" si="12"/>
        <v>113681.53647479978</v>
      </c>
      <c r="H75" s="18">
        <f t="shared" si="7"/>
        <v>649.90268305808206</v>
      </c>
      <c r="I75" s="18">
        <f t="shared" si="8"/>
        <v>2013234.2337521811</v>
      </c>
      <c r="J75" s="16">
        <f t="shared" si="9"/>
        <v>1006617.1168760905</v>
      </c>
      <c r="K75" s="16">
        <v>325</v>
      </c>
      <c r="L75" s="16">
        <v>1.5</v>
      </c>
      <c r="M75" s="16">
        <f t="shared" si="10"/>
        <v>15099.256753141359</v>
      </c>
      <c r="N75" s="16">
        <f t="shared" si="11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v>400</v>
      </c>
      <c r="F76" s="17">
        <v>1.5</v>
      </c>
      <c r="G76" s="18">
        <f t="shared" si="12"/>
        <v>125061.79012227977</v>
      </c>
      <c r="H76" s="18">
        <f t="shared" si="7"/>
        <v>683.44781721098616</v>
      </c>
      <c r="I76" s="18">
        <f t="shared" si="8"/>
        <v>2214777.6571273995</v>
      </c>
      <c r="J76" s="16">
        <f t="shared" si="9"/>
        <v>1107388.8285636997</v>
      </c>
      <c r="K76" s="16">
        <v>325</v>
      </c>
      <c r="L76" s="16">
        <v>1.5</v>
      </c>
      <c r="M76" s="16">
        <f t="shared" si="10"/>
        <v>16610.832428455498</v>
      </c>
      <c r="N76" s="16">
        <f t="shared" si="11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v>400</v>
      </c>
      <c r="F77" s="17">
        <v>1.5</v>
      </c>
      <c r="G77" s="18">
        <f t="shared" si="12"/>
        <v>137580.06913450776</v>
      </c>
      <c r="H77" s="18">
        <f t="shared" si="7"/>
        <v>718.67020807153551</v>
      </c>
      <c r="I77" s="18">
        <f t="shared" si="8"/>
        <v>2436475.4228401398</v>
      </c>
      <c r="J77" s="16">
        <f t="shared" si="9"/>
        <v>1218237.7114200699</v>
      </c>
      <c r="K77" s="16">
        <v>325</v>
      </c>
      <c r="L77" s="16">
        <v>1.5</v>
      </c>
      <c r="M77" s="16">
        <f t="shared" si="10"/>
        <v>18273.565671301047</v>
      </c>
      <c r="N77" s="16">
        <f t="shared" si="11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v>400</v>
      </c>
      <c r="F78" s="17">
        <v>1.5</v>
      </c>
      <c r="G78" s="18">
        <f t="shared" si="12"/>
        <v>151350.17604795855</v>
      </c>
      <c r="H78" s="18">
        <f t="shared" si="7"/>
        <v>755.65371847511233</v>
      </c>
      <c r="I78" s="18">
        <f t="shared" si="8"/>
        <v>2680342.965124154</v>
      </c>
      <c r="J78" s="16">
        <f t="shared" si="9"/>
        <v>1340171.482562077</v>
      </c>
      <c r="K78" s="16">
        <v>325</v>
      </c>
      <c r="L78" s="16">
        <v>1.5</v>
      </c>
      <c r="M78" s="16">
        <f t="shared" si="10"/>
        <v>20102.572238431156</v>
      </c>
      <c r="N78" s="16">
        <f t="shared" si="11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v>400</v>
      </c>
      <c r="F79" s="17">
        <v>1.5</v>
      </c>
      <c r="G79" s="18">
        <f t="shared" si="12"/>
        <v>166497.29365275442</v>
      </c>
      <c r="H79" s="18">
        <f t="shared" si="7"/>
        <v>794.48640439886799</v>
      </c>
      <c r="I79" s="18">
        <f t="shared" si="8"/>
        <v>2948597.2616365696</v>
      </c>
      <c r="J79" s="16">
        <f t="shared" si="9"/>
        <v>1474298.6308182848</v>
      </c>
      <c r="K79" s="16">
        <v>325</v>
      </c>
      <c r="L79" s="16">
        <v>1.5</v>
      </c>
      <c r="M79" s="16">
        <f t="shared" si="10"/>
        <v>22114.47946227427</v>
      </c>
      <c r="N79" s="16">
        <f t="shared" si="11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v>400</v>
      </c>
      <c r="F80" s="17">
        <v>1.5</v>
      </c>
      <c r="G80" s="18">
        <f t="shared" si="12"/>
        <v>183159.12301802987</v>
      </c>
      <c r="H80" s="18">
        <f t="shared" si="7"/>
        <v>835.26072461881142</v>
      </c>
      <c r="I80" s="18">
        <f t="shared" si="8"/>
        <v>3243676.987800227</v>
      </c>
      <c r="J80" s="16">
        <f t="shared" si="9"/>
        <v>1621838.4939001135</v>
      </c>
      <c r="K80" s="16">
        <v>325</v>
      </c>
      <c r="L80" s="16">
        <v>1.5</v>
      </c>
      <c r="M80" s="16">
        <f t="shared" si="10"/>
        <v>24327.577408501704</v>
      </c>
      <c r="N80" s="16">
        <f t="shared" si="11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v>400</v>
      </c>
      <c r="F81" s="17">
        <v>1.5</v>
      </c>
      <c r="G81" s="18">
        <f t="shared" si="12"/>
        <v>201487.13531983289</v>
      </c>
      <c r="H81" s="18">
        <f t="shared" si="7"/>
        <v>878.07376084975203</v>
      </c>
      <c r="I81" s="18">
        <f t="shared" si="8"/>
        <v>3568264.68658025</v>
      </c>
      <c r="J81" s="16">
        <f t="shared" si="9"/>
        <v>1784132.343290125</v>
      </c>
      <c r="K81" s="16">
        <v>325</v>
      </c>
      <c r="L81" s="16">
        <v>1.5</v>
      </c>
      <c r="M81" s="16">
        <f t="shared" si="10"/>
        <v>26761.98514935188</v>
      </c>
      <c r="N81" s="16">
        <f t="shared" si="11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v>400</v>
      </c>
      <c r="F82" s="17">
        <v>1.5</v>
      </c>
      <c r="G82" s="18">
        <f t="shared" si="12"/>
        <v>221647.94885181618</v>
      </c>
      <c r="H82" s="18">
        <f t="shared" si="7"/>
        <v>923.0274488922397</v>
      </c>
      <c r="I82" s="18">
        <f t="shared" si="8"/>
        <v>3925311.1552382754</v>
      </c>
      <c r="J82" s="16">
        <f t="shared" si="9"/>
        <v>1962655.5776191377</v>
      </c>
      <c r="K82" s="16">
        <v>325</v>
      </c>
      <c r="L82" s="16">
        <v>1.5</v>
      </c>
      <c r="M82" s="16">
        <f t="shared" si="10"/>
        <v>29439.833664287064</v>
      </c>
      <c r="N82" s="16">
        <f t="shared" si="11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v>400</v>
      </c>
      <c r="F83" s="17">
        <v>1.5</v>
      </c>
      <c r="G83" s="18">
        <f t="shared" si="12"/>
        <v>243824.84373699781</v>
      </c>
      <c r="H83" s="18">
        <f t="shared" si="7"/>
        <v>970.22882133685175</v>
      </c>
      <c r="I83" s="18">
        <f t="shared" si="8"/>
        <v>4318062.2707621036</v>
      </c>
      <c r="J83" s="16">
        <f t="shared" si="9"/>
        <v>2159031.1353810518</v>
      </c>
      <c r="K83" s="16">
        <v>325</v>
      </c>
      <c r="L83" s="16">
        <v>1.5</v>
      </c>
      <c r="M83" s="16">
        <f t="shared" si="10"/>
        <v>32385.467030715776</v>
      </c>
      <c r="N83" s="16">
        <f t="shared" si="11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v>400</v>
      </c>
      <c r="F84" s="17">
        <v>1.5</v>
      </c>
      <c r="G84" s="18">
        <f t="shared" si="12"/>
        <v>268219.4281106976</v>
      </c>
      <c r="H84" s="18">
        <f t="shared" si="7"/>
        <v>1019.7902624036943</v>
      </c>
      <c r="I84" s="18">
        <f t="shared" si="8"/>
        <v>4750088.4978383146</v>
      </c>
      <c r="J84" s="16">
        <f t="shared" si="9"/>
        <v>2375044.2489191573</v>
      </c>
      <c r="K84" s="16">
        <v>325</v>
      </c>
      <c r="L84" s="16">
        <v>1.5</v>
      </c>
      <c r="M84" s="16">
        <f t="shared" si="10"/>
        <v>35625.663733787362</v>
      </c>
      <c r="N84" s="16">
        <f t="shared" si="11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v>400</v>
      </c>
      <c r="F85" s="17">
        <v>1.5</v>
      </c>
      <c r="G85" s="18">
        <f t="shared" si="12"/>
        <v>295053.47092176741</v>
      </c>
      <c r="H85" s="18">
        <f t="shared" si="7"/>
        <v>1071.8297755238791</v>
      </c>
      <c r="I85" s="18">
        <f t="shared" si="8"/>
        <v>5225317.3476221468</v>
      </c>
      <c r="J85" s="16">
        <f t="shared" si="9"/>
        <v>2612658.6738110734</v>
      </c>
      <c r="K85" s="16">
        <v>325</v>
      </c>
      <c r="L85" s="16">
        <v>1.5</v>
      </c>
      <c r="M85" s="16">
        <f t="shared" si="10"/>
        <v>39189.8801071661</v>
      </c>
      <c r="N85" s="16">
        <f t="shared" si="11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v>400</v>
      </c>
      <c r="F86" s="17">
        <v>1.5</v>
      </c>
      <c r="G86" s="18">
        <f t="shared" si="12"/>
        <v>324570.91801394417</v>
      </c>
      <c r="H86" s="18">
        <f t="shared" si="7"/>
        <v>1126.471264300073</v>
      </c>
      <c r="I86" s="18">
        <f t="shared" si="8"/>
        <v>5748069.0823843619</v>
      </c>
      <c r="J86" s="16">
        <f t="shared" si="9"/>
        <v>2874034.5411921809</v>
      </c>
      <c r="K86" s="16">
        <v>325</v>
      </c>
      <c r="L86" s="16">
        <v>1.5</v>
      </c>
      <c r="M86" s="16">
        <f t="shared" si="10"/>
        <v>43110.518117882719</v>
      </c>
      <c r="N86" s="16">
        <f t="shared" si="11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v>400</v>
      </c>
      <c r="F87" s="17">
        <v>1.5</v>
      </c>
      <c r="G87" s="18">
        <f t="shared" si="12"/>
        <v>357040.10981533863</v>
      </c>
      <c r="H87" s="18">
        <f t="shared" si="7"/>
        <v>1183.8448275150768</v>
      </c>
      <c r="I87" s="18">
        <f t="shared" si="8"/>
        <v>6323095.9906227989</v>
      </c>
      <c r="J87" s="16">
        <f t="shared" si="9"/>
        <v>3161547.9953113995</v>
      </c>
      <c r="K87" s="16">
        <v>325</v>
      </c>
      <c r="L87" s="16">
        <v>1.5</v>
      </c>
      <c r="M87" s="16">
        <f t="shared" si="10"/>
        <v>47423.219929670988</v>
      </c>
      <c r="N87" s="16">
        <f t="shared" si="11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v>400</v>
      </c>
      <c r="F88" s="17">
        <v>1.5</v>
      </c>
      <c r="G88" s="18">
        <f t="shared" si="12"/>
        <v>392756.22079687251</v>
      </c>
      <c r="H88" s="18">
        <f t="shared" si="7"/>
        <v>1244.0870688908306</v>
      </c>
      <c r="I88" s="18">
        <f t="shared" si="8"/>
        <v>6955625.5896850796</v>
      </c>
      <c r="J88" s="16">
        <f t="shared" si="9"/>
        <v>3477812.7948425398</v>
      </c>
      <c r="K88" s="16">
        <v>325</v>
      </c>
      <c r="L88" s="16">
        <v>1.5</v>
      </c>
      <c r="M88" s="16">
        <f t="shared" si="10"/>
        <v>52167.1919226381</v>
      </c>
      <c r="N88" s="16">
        <f t="shared" si="11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v>400</v>
      </c>
      <c r="F89" s="17">
        <v>1.5</v>
      </c>
      <c r="G89" s="18">
        <f t="shared" si="12"/>
        <v>432043.9428765598</v>
      </c>
      <c r="H89" s="18">
        <f t="shared" si="7"/>
        <v>1307.341422335372</v>
      </c>
      <c r="I89" s="18">
        <f t="shared" si="8"/>
        <v>7651408.1486535883</v>
      </c>
      <c r="J89" s="16">
        <f t="shared" si="9"/>
        <v>3825704.0743267941</v>
      </c>
      <c r="K89" s="16">
        <v>325</v>
      </c>
      <c r="L89" s="16">
        <v>1.5</v>
      </c>
      <c r="M89" s="16">
        <f t="shared" si="10"/>
        <v>57385.56111490191</v>
      </c>
      <c r="N89" s="16">
        <f t="shared" si="11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v>400</v>
      </c>
      <c r="F90" s="17">
        <v>1.5</v>
      </c>
      <c r="G90" s="18">
        <f t="shared" si="12"/>
        <v>475260.43716421584</v>
      </c>
      <c r="H90" s="18">
        <f t="shared" si="7"/>
        <v>1373.7584934521408</v>
      </c>
      <c r="I90" s="18">
        <f t="shared" si="8"/>
        <v>8416768.9635189474</v>
      </c>
      <c r="J90" s="16">
        <f t="shared" si="9"/>
        <v>4208384.4817594737</v>
      </c>
      <c r="K90" s="16">
        <v>325</v>
      </c>
      <c r="L90" s="16">
        <v>1.5</v>
      </c>
      <c r="M90" s="16">
        <f t="shared" si="10"/>
        <v>63125.767226392098</v>
      </c>
      <c r="N90" s="16">
        <f t="shared" si="11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v>400</v>
      </c>
      <c r="F91" s="17">
        <v>1.5</v>
      </c>
      <c r="G91" s="18">
        <f t="shared" si="12"/>
        <v>522798.58088063746</v>
      </c>
      <c r="H91" s="18">
        <f t="shared" si="7"/>
        <v>1443.4964181247478</v>
      </c>
      <c r="I91" s="18">
        <f t="shared" si="8"/>
        <v>9258665.8598708436</v>
      </c>
      <c r="J91" s="16">
        <f t="shared" si="9"/>
        <v>4629332.9299354218</v>
      </c>
      <c r="K91" s="16">
        <v>325</v>
      </c>
      <c r="L91" s="16">
        <v>1.5</v>
      </c>
      <c r="M91" s="16">
        <f t="shared" si="10"/>
        <v>69439.993949031326</v>
      </c>
      <c r="N91" s="16">
        <f t="shared" si="11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v>400</v>
      </c>
      <c r="F92" s="17">
        <v>1.5</v>
      </c>
      <c r="G92" s="18">
        <f t="shared" si="12"/>
        <v>575090.53896870126</v>
      </c>
      <c r="H92" s="18">
        <f t="shared" si="7"/>
        <v>1516.7212390309853</v>
      </c>
      <c r="I92" s="18">
        <f t="shared" si="8"/>
        <v>10184752.445857929</v>
      </c>
      <c r="J92" s="16">
        <f t="shared" si="9"/>
        <v>5092376.2229289645</v>
      </c>
      <c r="K92" s="16">
        <v>325</v>
      </c>
      <c r="L92" s="16">
        <v>1.5</v>
      </c>
      <c r="M92" s="16">
        <f t="shared" si="10"/>
        <v>76385.643343934469</v>
      </c>
      <c r="N92" s="16">
        <f t="shared" si="11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v>400</v>
      </c>
      <c r="F93" s="17">
        <v>1.5</v>
      </c>
      <c r="G93" s="18">
        <f t="shared" si="12"/>
        <v>632611.69286557147</v>
      </c>
      <c r="H93" s="18">
        <f t="shared" si="7"/>
        <v>1593.6073009825348</v>
      </c>
      <c r="I93" s="18">
        <f t="shared" si="8"/>
        <v>11203447.690443723</v>
      </c>
      <c r="J93" s="16">
        <f t="shared" si="9"/>
        <v>5601723.8452218613</v>
      </c>
      <c r="K93" s="16">
        <v>325</v>
      </c>
      <c r="L93" s="16">
        <v>1.5</v>
      </c>
      <c r="M93" s="16">
        <f t="shared" si="10"/>
        <v>84025.857678327913</v>
      </c>
      <c r="N93" s="16">
        <f t="shared" si="11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v>400</v>
      </c>
      <c r="F94" s="17">
        <v>1.5</v>
      </c>
      <c r="G94" s="18">
        <f t="shared" si="12"/>
        <v>695884.96215212869</v>
      </c>
      <c r="H94" s="18">
        <f t="shared" si="7"/>
        <v>1674.3376660316615</v>
      </c>
      <c r="I94" s="18">
        <f t="shared" si="8"/>
        <v>12324012.459488096</v>
      </c>
      <c r="J94" s="16">
        <f t="shared" si="9"/>
        <v>6162006.2297440479</v>
      </c>
      <c r="K94" s="16">
        <v>325</v>
      </c>
      <c r="L94" s="16">
        <v>1.5</v>
      </c>
      <c r="M94" s="16">
        <f t="shared" si="10"/>
        <v>92430.093446160725</v>
      </c>
      <c r="N94" s="16">
        <f t="shared" si="11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v>400</v>
      </c>
      <c r="F95" s="17">
        <v>1.5</v>
      </c>
      <c r="G95" s="18">
        <f t="shared" si="12"/>
        <v>765485.55836734164</v>
      </c>
      <c r="H95" s="18">
        <f t="shared" si="7"/>
        <v>1759.1045493332447</v>
      </c>
      <c r="I95" s="18">
        <f t="shared" si="8"/>
        <v>13556633.705436906</v>
      </c>
      <c r="J95" s="16">
        <f t="shared" si="9"/>
        <v>6778316.8527184529</v>
      </c>
      <c r="K95" s="16">
        <v>325</v>
      </c>
      <c r="L95" s="16">
        <v>1.5</v>
      </c>
      <c r="M95" s="16">
        <f t="shared" si="10"/>
        <v>101674.75279077681</v>
      </c>
      <c r="N95" s="16">
        <f t="shared" si="11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v>400</v>
      </c>
      <c r="F96" s="17">
        <v>1.5</v>
      </c>
      <c r="G96" s="18">
        <f t="shared" si="12"/>
        <v>842046.21420407586</v>
      </c>
      <c r="H96" s="18">
        <f t="shared" si="7"/>
        <v>1848.109776799907</v>
      </c>
      <c r="I96" s="18">
        <f t="shared" si="8"/>
        <v>14912517.075980598</v>
      </c>
      <c r="J96" s="16">
        <f t="shared" si="9"/>
        <v>7456258.5379902991</v>
      </c>
      <c r="K96" s="16">
        <v>325</v>
      </c>
      <c r="L96" s="16">
        <v>1.5</v>
      </c>
      <c r="M96" s="16">
        <f t="shared" si="10"/>
        <v>111843.87806985449</v>
      </c>
      <c r="N96" s="16">
        <f t="shared" si="11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v>400</v>
      </c>
      <c r="F97" s="17">
        <v>1.5</v>
      </c>
      <c r="G97" s="18">
        <f t="shared" si="12"/>
        <v>926262.93562448351</v>
      </c>
      <c r="H97" s="18">
        <f t="shared" si="7"/>
        <v>1941.5652656399025</v>
      </c>
      <c r="I97" s="18">
        <f t="shared" si="8"/>
        <v>16403988.783578658</v>
      </c>
      <c r="J97" s="16">
        <f t="shared" si="9"/>
        <v>8201994.3917893292</v>
      </c>
      <c r="K97" s="16">
        <v>325</v>
      </c>
      <c r="L97" s="16">
        <v>1.5</v>
      </c>
      <c r="M97" s="16">
        <f t="shared" si="10"/>
        <v>123029.91587683995</v>
      </c>
      <c r="N97" s="16">
        <f t="shared" si="11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v>400</v>
      </c>
      <c r="F98" s="17">
        <v>1.5</v>
      </c>
      <c r="G98" s="18">
        <f t="shared" si="12"/>
        <v>1018901.329186932</v>
      </c>
      <c r="H98" s="18">
        <f t="shared" si="7"/>
        <v>2039.6935289218977</v>
      </c>
      <c r="I98" s="18">
        <f t="shared" si="8"/>
        <v>18044607.661936525</v>
      </c>
      <c r="J98" s="16">
        <f t="shared" si="9"/>
        <v>9022303.8309682626</v>
      </c>
      <c r="K98" s="16">
        <v>325</v>
      </c>
      <c r="L98" s="16">
        <v>1.5</v>
      </c>
      <c r="M98" s="16">
        <f t="shared" si="10"/>
        <v>135334.55746452394</v>
      </c>
      <c r="N98" s="16">
        <f t="shared" si="11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v>400</v>
      </c>
      <c r="F99" s="17">
        <v>1.5</v>
      </c>
      <c r="G99" s="18">
        <f t="shared" si="12"/>
        <v>1120803.5621056252</v>
      </c>
      <c r="H99" s="18">
        <f t="shared" si="7"/>
        <v>2142.7282053679928</v>
      </c>
      <c r="I99" s="18">
        <f t="shared" si="8"/>
        <v>19849288.42813018</v>
      </c>
      <c r="J99" s="16">
        <f t="shared" si="9"/>
        <v>9924644.2140650898</v>
      </c>
      <c r="K99" s="16">
        <v>325</v>
      </c>
      <c r="L99" s="16">
        <v>1.5</v>
      </c>
      <c r="M99" s="16">
        <f t="shared" si="10"/>
        <v>148869.66321097634</v>
      </c>
      <c r="N99" s="16">
        <f t="shared" si="11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v>400</v>
      </c>
      <c r="F100" s="17">
        <v>1.5</v>
      </c>
      <c r="G100" s="18">
        <f t="shared" si="12"/>
        <v>1232896.0183161879</v>
      </c>
      <c r="H100" s="18">
        <f>(H99+1)*1.05</f>
        <v>2250.9146156363927</v>
      </c>
      <c r="I100" s="18">
        <f t="shared" si="8"/>
        <v>21834437.270943198</v>
      </c>
      <c r="J100" s="16">
        <f t="shared" si="9"/>
        <v>10917218.635471599</v>
      </c>
      <c r="K100" s="16">
        <v>325</v>
      </c>
      <c r="L100" s="16">
        <v>1.5</v>
      </c>
      <c r="M100" s="16">
        <f t="shared" si="10"/>
        <v>163758.279532074</v>
      </c>
      <c r="N100" s="16">
        <f t="shared" si="11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v>400</v>
      </c>
      <c r="F101" s="17">
        <v>1.5</v>
      </c>
      <c r="G101" s="18">
        <f t="shared" si="12"/>
        <v>1356197.7201478067</v>
      </c>
      <c r="H101" s="18">
        <f t="shared" si="7"/>
        <v>2364.5103464182125</v>
      </c>
      <c r="I101" s="18">
        <f t="shared" si="8"/>
        <v>24018100.998037521</v>
      </c>
      <c r="J101" s="16">
        <f t="shared" si="9"/>
        <v>12009050.49901876</v>
      </c>
      <c r="K101" s="16">
        <v>325</v>
      </c>
      <c r="L101" s="16">
        <v>1.5</v>
      </c>
      <c r="M101" s="16">
        <f t="shared" si="10"/>
        <v>180135.75748528141</v>
      </c>
      <c r="N101" s="16">
        <f t="shared" si="11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v>400</v>
      </c>
      <c r="F102" s="17">
        <v>1.5</v>
      </c>
      <c r="G102" s="18">
        <f t="shared" si="12"/>
        <v>1491829.5921625874</v>
      </c>
      <c r="H102" s="18">
        <f t="shared" si="7"/>
        <v>2483.7858637391232</v>
      </c>
      <c r="I102" s="18">
        <f t="shared" si="8"/>
        <v>26420131.097841274</v>
      </c>
      <c r="J102" s="16">
        <f t="shared" si="9"/>
        <v>13210065.548920637</v>
      </c>
      <c r="K102" s="16">
        <v>325</v>
      </c>
      <c r="L102" s="16">
        <v>1.5</v>
      </c>
      <c r="M102" s="16">
        <f t="shared" si="10"/>
        <v>198150.98323380956</v>
      </c>
      <c r="N102" s="16">
        <f t="shared" si="11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v>400</v>
      </c>
      <c r="F103" s="17">
        <v>1.5</v>
      </c>
      <c r="G103" s="18">
        <f t="shared" si="12"/>
        <v>1641024.6513788463</v>
      </c>
      <c r="H103" s="18">
        <f t="shared" si="7"/>
        <v>2609.0251569260795</v>
      </c>
      <c r="I103" s="18">
        <f t="shared" si="8"/>
        <v>29062364.207625404</v>
      </c>
      <c r="J103" s="16">
        <f t="shared" si="9"/>
        <v>14531182.103812702</v>
      </c>
      <c r="K103" s="16">
        <v>325</v>
      </c>
      <c r="L103" s="16">
        <v>1.5</v>
      </c>
      <c r="M103" s="16">
        <f t="shared" si="10"/>
        <v>217967.73155719053</v>
      </c>
      <c r="N103" s="16">
        <f t="shared" si="11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2" si="13">I104*0.01*0.75</f>
        <v>147.15</v>
      </c>
      <c r="N104" s="33">
        <f t="shared" ref="N104:N113" si="14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3"/>
        <v>539.505</v>
      </c>
      <c r="N105" s="33">
        <f t="shared" si="14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3"/>
        <v>1557.09</v>
      </c>
      <c r="N106" s="33">
        <f t="shared" si="14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3"/>
        <v>4196.5199999999995</v>
      </c>
      <c r="N107" s="33">
        <f t="shared" si="14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8000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3"/>
        <v>11042.460000000001</v>
      </c>
      <c r="N108" s="33">
        <f t="shared" si="14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8000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3"/>
        <v>28799.055</v>
      </c>
      <c r="N109" s="33">
        <f t="shared" si="14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8000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3"/>
        <v>74855.16</v>
      </c>
      <c r="N110" s="33">
        <f t="shared" si="14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8000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3"/>
        <v>194312.79</v>
      </c>
      <c r="N111" s="33">
        <f t="shared" si="14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8000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3"/>
        <v>504155.16000000003</v>
      </c>
      <c r="N112" s="33">
        <f t="shared" si="14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8000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>I113*0.01*0.75</f>
        <v>1307806.3800000001</v>
      </c>
      <c r="N113" s="33">
        <f t="shared" si="14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 s="7">
        <v>1380</v>
      </c>
      <c r="F114" s="34">
        <v>0</v>
      </c>
      <c r="G114" s="33">
        <v>0</v>
      </c>
      <c r="H114" s="32">
        <v>5</v>
      </c>
      <c r="I114" s="32">
        <v>10000000000</v>
      </c>
      <c r="J114" s="33">
        <v>0</v>
      </c>
      <c r="K114" s="33">
        <v>325</v>
      </c>
      <c r="L114" s="33">
        <v>1.5</v>
      </c>
      <c r="M114" s="32">
        <v>10000000000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 s="7">
        <v>2880</v>
      </c>
      <c r="F115" s="34">
        <v>0</v>
      </c>
      <c r="G115" s="33">
        <v>0</v>
      </c>
      <c r="H115" s="32">
        <v>21</v>
      </c>
      <c r="I115" s="32">
        <v>10000000000</v>
      </c>
      <c r="J115" s="33">
        <v>0</v>
      </c>
      <c r="K115" s="33">
        <v>325</v>
      </c>
      <c r="L115" s="33">
        <v>1.5</v>
      </c>
      <c r="M115" s="32">
        <v>10000000000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5">
        <v>4460</v>
      </c>
      <c r="F116" s="34">
        <v>0</v>
      </c>
      <c r="G116" s="33">
        <v>0</v>
      </c>
      <c r="H116" s="32">
        <v>47</v>
      </c>
      <c r="I116" s="32">
        <v>10000000000</v>
      </c>
      <c r="J116" s="33">
        <v>0</v>
      </c>
      <c r="K116" s="33">
        <v>325</v>
      </c>
      <c r="L116" s="33">
        <v>1.5</v>
      </c>
      <c r="M116" s="32">
        <v>10000000000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 s="7">
        <v>6120</v>
      </c>
      <c r="F117" s="34">
        <v>0</v>
      </c>
      <c r="G117" s="33">
        <v>0</v>
      </c>
      <c r="H117" s="32">
        <v>89</v>
      </c>
      <c r="I117" s="32">
        <v>10000000000</v>
      </c>
      <c r="J117" s="33">
        <v>0</v>
      </c>
      <c r="K117" s="33">
        <v>325</v>
      </c>
      <c r="L117" s="33">
        <v>1.5</v>
      </c>
      <c r="M117" s="32">
        <v>10000000000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 s="7">
        <v>7860</v>
      </c>
      <c r="F118" s="34">
        <v>0</v>
      </c>
      <c r="G118" s="33">
        <v>0</v>
      </c>
      <c r="H118" s="32">
        <v>159</v>
      </c>
      <c r="I118" s="32">
        <v>10000000000</v>
      </c>
      <c r="J118" s="33">
        <v>0</v>
      </c>
      <c r="K118" s="33">
        <v>325</v>
      </c>
      <c r="L118" s="33">
        <v>1.5</v>
      </c>
      <c r="M118" s="32">
        <v>10000000000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 s="33">
        <v>8000</v>
      </c>
      <c r="F119" s="34">
        <v>0</v>
      </c>
      <c r="G119" s="33">
        <v>0</v>
      </c>
      <c r="H119" s="32">
        <v>272</v>
      </c>
      <c r="I119" s="32">
        <v>10000000000</v>
      </c>
      <c r="J119" s="33">
        <v>0</v>
      </c>
      <c r="K119" s="33">
        <v>325</v>
      </c>
      <c r="L119" s="33">
        <v>1.5</v>
      </c>
      <c r="M119" s="32">
        <v>10000000000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 s="33">
        <v>8000</v>
      </c>
      <c r="F120" s="34">
        <v>0</v>
      </c>
      <c r="G120" s="33">
        <v>0</v>
      </c>
      <c r="H120" s="32">
        <v>456</v>
      </c>
      <c r="I120" s="32">
        <v>10000000000</v>
      </c>
      <c r="J120" s="33">
        <v>0</v>
      </c>
      <c r="K120" s="33">
        <v>325</v>
      </c>
      <c r="L120" s="33">
        <v>1.5</v>
      </c>
      <c r="M120" s="32">
        <v>10000000000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 s="33">
        <v>8000</v>
      </c>
      <c r="F121" s="34">
        <v>0</v>
      </c>
      <c r="G121" s="33">
        <v>0</v>
      </c>
      <c r="H121" s="32">
        <v>756</v>
      </c>
      <c r="I121" s="32">
        <v>10000000000</v>
      </c>
      <c r="J121" s="33">
        <v>0</v>
      </c>
      <c r="K121" s="33">
        <v>325</v>
      </c>
      <c r="L121" s="33">
        <v>1.5</v>
      </c>
      <c r="M121" s="32">
        <v>10000000000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 s="33">
        <v>8000</v>
      </c>
      <c r="F122" s="34">
        <v>0</v>
      </c>
      <c r="G122" s="33">
        <v>0</v>
      </c>
      <c r="H122" s="32">
        <v>1244</v>
      </c>
      <c r="I122" s="32">
        <v>10000000000</v>
      </c>
      <c r="J122" s="33">
        <v>0</v>
      </c>
      <c r="K122" s="33">
        <v>325</v>
      </c>
      <c r="L122" s="33">
        <v>1.5</v>
      </c>
      <c r="M122" s="32">
        <v>10000000000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 s="33">
        <v>8000</v>
      </c>
      <c r="F123" s="34">
        <v>0</v>
      </c>
      <c r="G123" s="33">
        <v>0</v>
      </c>
      <c r="H123" s="32">
        <v>2040</v>
      </c>
      <c r="I123" s="32">
        <v>10000000000</v>
      </c>
      <c r="J123" s="33">
        <v>0</v>
      </c>
      <c r="K123" s="33">
        <v>325</v>
      </c>
      <c r="L123" s="33">
        <v>1.5</v>
      </c>
      <c r="M123" s="32">
        <v>10000000000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8000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  <row r="125" spans="1:16" x14ac:dyDescent="0.15">
      <c r="A125" s="31" t="s">
        <v>564</v>
      </c>
      <c r="B125" s="31" t="s">
        <v>564</v>
      </c>
      <c r="C125">
        <v>0</v>
      </c>
      <c r="D125">
        <v>100</v>
      </c>
      <c r="E125">
        <v>100</v>
      </c>
      <c r="F125" s="34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3">
        <v>325</v>
      </c>
      <c r="L125" s="33">
        <v>1.25</v>
      </c>
      <c r="M125" s="33">
        <f t="shared" ref="M125" si="15">I125*0.01*0.75</f>
        <v>1177025.7420000001</v>
      </c>
      <c r="N125" s="33">
        <f t="shared" ref="N125" si="16">J125*0.01</f>
        <v>784683.82799999998</v>
      </c>
      <c r="O125" s="9">
        <v>100</v>
      </c>
      <c r="P125" s="27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2019-04-02T06:58:21Z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