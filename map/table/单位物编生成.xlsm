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63505836-A908-43CD-909D-4AEC47BB732B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5" i="30" l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76" i="30" l="1"/>
  <c r="G76" i="30"/>
  <c r="H76" i="30"/>
  <c r="I76" i="30"/>
  <c r="J76" i="30"/>
  <c r="M76" i="30"/>
  <c r="N76" i="30"/>
  <c r="G77" i="30"/>
  <c r="H77" i="30"/>
  <c r="I77" i="30"/>
  <c r="J77" i="30"/>
  <c r="M77" i="30"/>
  <c r="N77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4" i="30" l="1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M69" i="30" l="1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N69" i="30" l="1"/>
</calcChain>
</file>

<file path=xl/sharedStrings.xml><?xml version="1.0" encoding="utf-8"?>
<sst xmlns="http://schemas.openxmlformats.org/spreadsheetml/2006/main" count="823" uniqueCount="517">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</sst>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F20" sqref="F20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17" t="s">
        <v>397</v>
      </c>
      <c r="F2" s="3" t="s">
        <v>4</v>
      </c>
      <c r="G2" s="3" t="s">
        <v>5</v>
      </c>
      <c r="H2" t="s">
        <v>480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398</v>
      </c>
      <c r="F3" s="1" t="s">
        <v>11</v>
      </c>
      <c r="G3" s="1" t="s">
        <v>12</v>
      </c>
      <c r="H3" s="1" t="s">
        <v>481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403</v>
      </c>
      <c r="B85" s="12" t="s">
        <v>183</v>
      </c>
      <c r="H85" s="1">
        <v>30</v>
      </c>
    </row>
    <row r="86" spans="1:8" ht="15" x14ac:dyDescent="0.15">
      <c r="A86" s="8" t="s">
        <v>405</v>
      </c>
      <c r="B86" s="12" t="s">
        <v>404</v>
      </c>
      <c r="H86" s="1">
        <v>30</v>
      </c>
    </row>
    <row r="87" spans="1:8" ht="15" x14ac:dyDescent="0.15">
      <c r="A87" s="8" t="s">
        <v>408</v>
      </c>
      <c r="B87" s="18" t="s">
        <v>410</v>
      </c>
      <c r="H87" s="1">
        <v>30</v>
      </c>
    </row>
    <row r="88" spans="1:8" ht="15" x14ac:dyDescent="0.15">
      <c r="A88" s="8" t="s">
        <v>416</v>
      </c>
      <c r="B88" s="18" t="s">
        <v>410</v>
      </c>
      <c r="C88" s="16" t="s">
        <v>417</v>
      </c>
      <c r="H88" s="1">
        <v>30</v>
      </c>
    </row>
    <row r="89" spans="1:8" ht="15" x14ac:dyDescent="0.15">
      <c r="A89" s="19" t="s">
        <v>419</v>
      </c>
      <c r="B89" s="18" t="s">
        <v>418</v>
      </c>
      <c r="H89" s="1">
        <v>30</v>
      </c>
    </row>
    <row r="90" spans="1:8" ht="15" x14ac:dyDescent="0.15">
      <c r="A90" s="8" t="s">
        <v>421</v>
      </c>
      <c r="B90" s="18" t="s">
        <v>420</v>
      </c>
      <c r="H90" s="1">
        <v>30</v>
      </c>
    </row>
    <row r="91" spans="1:8" ht="15" x14ac:dyDescent="0.15">
      <c r="A91" s="20" t="s">
        <v>426</v>
      </c>
      <c r="B91" s="13" t="s">
        <v>422</v>
      </c>
      <c r="C91" s="21" t="s">
        <v>434</v>
      </c>
      <c r="H91" s="1">
        <v>30</v>
      </c>
    </row>
    <row r="92" spans="1:8" ht="15" x14ac:dyDescent="0.15">
      <c r="A92" s="8" t="s">
        <v>423</v>
      </c>
      <c r="B92" s="13" t="s">
        <v>424</v>
      </c>
      <c r="C92" s="21" t="s">
        <v>435</v>
      </c>
      <c r="H92" s="1">
        <v>30</v>
      </c>
    </row>
    <row r="93" spans="1:8" ht="15" x14ac:dyDescent="0.15">
      <c r="A93" s="20" t="s">
        <v>425</v>
      </c>
      <c r="B93" s="18" t="s">
        <v>410</v>
      </c>
      <c r="C93" s="21"/>
      <c r="H93" s="1">
        <v>30</v>
      </c>
    </row>
    <row r="94" spans="1:8" ht="15" x14ac:dyDescent="0.15">
      <c r="A94" s="20" t="s">
        <v>427</v>
      </c>
      <c r="B94" s="13" t="s">
        <v>461</v>
      </c>
      <c r="C94" s="21" t="s">
        <v>436</v>
      </c>
      <c r="H94" s="1">
        <v>30</v>
      </c>
    </row>
    <row r="95" spans="1:8" ht="15" x14ac:dyDescent="0.15">
      <c r="A95" s="20" t="s">
        <v>428</v>
      </c>
      <c r="B95" s="13" t="s">
        <v>462</v>
      </c>
      <c r="C95" s="21" t="s">
        <v>437</v>
      </c>
      <c r="H95" s="1">
        <v>30</v>
      </c>
    </row>
    <row r="96" spans="1:8" ht="15" x14ac:dyDescent="0.15">
      <c r="A96" s="20" t="s">
        <v>429</v>
      </c>
      <c r="B96" s="13" t="s">
        <v>460</v>
      </c>
      <c r="C96" s="21" t="s">
        <v>438</v>
      </c>
      <c r="H96" s="1">
        <v>30</v>
      </c>
    </row>
    <row r="97" spans="1:8" ht="15" x14ac:dyDescent="0.15">
      <c r="A97" s="20" t="s">
        <v>430</v>
      </c>
      <c r="B97" s="13" t="s">
        <v>463</v>
      </c>
      <c r="C97" s="21" t="s">
        <v>439</v>
      </c>
      <c r="H97" s="1">
        <v>30</v>
      </c>
    </row>
    <row r="98" spans="1:8" ht="15" x14ac:dyDescent="0.15">
      <c r="A98" s="20" t="s">
        <v>431</v>
      </c>
      <c r="B98" s="13" t="s">
        <v>464</v>
      </c>
      <c r="C98" s="21" t="s">
        <v>440</v>
      </c>
      <c r="H98" s="1">
        <v>30</v>
      </c>
    </row>
    <row r="99" spans="1:8" ht="15" x14ac:dyDescent="0.15">
      <c r="A99" s="20" t="s">
        <v>432</v>
      </c>
      <c r="B99" s="13" t="s">
        <v>465</v>
      </c>
      <c r="C99" s="21" t="s">
        <v>441</v>
      </c>
      <c r="H99" s="1">
        <v>30</v>
      </c>
    </row>
    <row r="100" spans="1:8" ht="15" x14ac:dyDescent="0.15">
      <c r="A100" s="20" t="s">
        <v>433</v>
      </c>
      <c r="B100" s="18" t="s">
        <v>410</v>
      </c>
      <c r="C100" s="21" t="s">
        <v>442</v>
      </c>
      <c r="H100" s="1">
        <v>30</v>
      </c>
    </row>
    <row r="101" spans="1:8" ht="15" x14ac:dyDescent="0.15">
      <c r="A101" s="23" t="s">
        <v>504</v>
      </c>
      <c r="B101" s="18" t="s">
        <v>410</v>
      </c>
      <c r="C101" s="27" t="s">
        <v>482</v>
      </c>
      <c r="H101" s="1">
        <v>60</v>
      </c>
    </row>
    <row r="102" spans="1:8" ht="15" x14ac:dyDescent="0.15">
      <c r="A102" s="23" t="s">
        <v>506</v>
      </c>
      <c r="B102" s="18" t="s">
        <v>410</v>
      </c>
      <c r="C102" s="27" t="s">
        <v>483</v>
      </c>
      <c r="H102" s="1">
        <v>60</v>
      </c>
    </row>
    <row r="103" spans="1:8" ht="15" x14ac:dyDescent="0.15">
      <c r="A103" s="23" t="s">
        <v>507</v>
      </c>
      <c r="B103" s="18" t="s">
        <v>410</v>
      </c>
      <c r="C103" s="27" t="s">
        <v>484</v>
      </c>
      <c r="H103" s="1">
        <v>60</v>
      </c>
    </row>
    <row r="104" spans="1:8" ht="15" x14ac:dyDescent="0.15">
      <c r="A104" s="23" t="s">
        <v>508</v>
      </c>
      <c r="B104" s="18" t="s">
        <v>410</v>
      </c>
      <c r="C104" s="27" t="s">
        <v>485</v>
      </c>
      <c r="H104" s="1">
        <v>60</v>
      </c>
    </row>
    <row r="105" spans="1:8" ht="15" x14ac:dyDescent="0.15">
      <c r="A105" s="23" t="s">
        <v>509</v>
      </c>
      <c r="B105" s="18" t="s">
        <v>410</v>
      </c>
      <c r="C105" s="27" t="s">
        <v>486</v>
      </c>
      <c r="H105" s="1">
        <v>60</v>
      </c>
    </row>
    <row r="106" spans="1:8" ht="15" x14ac:dyDescent="0.15">
      <c r="A106" s="23" t="s">
        <v>510</v>
      </c>
      <c r="B106" s="18" t="s">
        <v>410</v>
      </c>
      <c r="C106" s="27" t="s">
        <v>487</v>
      </c>
      <c r="H106" s="1">
        <v>60</v>
      </c>
    </row>
    <row r="107" spans="1:8" ht="15" x14ac:dyDescent="0.15">
      <c r="A107" s="23" t="s">
        <v>511</v>
      </c>
      <c r="B107" s="18" t="s">
        <v>410</v>
      </c>
      <c r="C107" s="27" t="s">
        <v>488</v>
      </c>
      <c r="H107" s="1">
        <v>60</v>
      </c>
    </row>
    <row r="108" spans="1:8" ht="15" x14ac:dyDescent="0.15">
      <c r="A108" s="23" t="s">
        <v>512</v>
      </c>
      <c r="B108" s="18" t="s">
        <v>410</v>
      </c>
      <c r="C108" s="27" t="s">
        <v>489</v>
      </c>
      <c r="H108" s="1">
        <v>60</v>
      </c>
    </row>
    <row r="109" spans="1:8" ht="15" x14ac:dyDescent="0.15">
      <c r="A109" s="23" t="s">
        <v>513</v>
      </c>
      <c r="B109" s="18" t="s">
        <v>410</v>
      </c>
      <c r="C109" s="27" t="s">
        <v>490</v>
      </c>
      <c r="H109" s="1">
        <v>60</v>
      </c>
    </row>
    <row r="110" spans="1:8" ht="15" x14ac:dyDescent="0.15">
      <c r="A110" s="23" t="s">
        <v>514</v>
      </c>
      <c r="B110" s="18" t="s">
        <v>410</v>
      </c>
      <c r="C110" s="27" t="s">
        <v>491</v>
      </c>
      <c r="H110" s="1">
        <v>60</v>
      </c>
    </row>
    <row r="111" spans="1:8" ht="15" x14ac:dyDescent="0.15">
      <c r="A111" s="24" t="s">
        <v>492</v>
      </c>
      <c r="B111" s="18" t="s">
        <v>410</v>
      </c>
      <c r="C111" s="2" t="s">
        <v>493</v>
      </c>
      <c r="H111" s="1">
        <v>40</v>
      </c>
    </row>
    <row r="112" spans="1:8" ht="15" x14ac:dyDescent="0.15">
      <c r="A112" s="24" t="s">
        <v>515</v>
      </c>
      <c r="B112" s="18" t="s">
        <v>410</v>
      </c>
      <c r="C112" s="2" t="s">
        <v>516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3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391</v>
      </c>
    </row>
    <row r="39" spans="1:1" ht="15" x14ac:dyDescent="0.15">
      <c r="A39" s="1" t="s">
        <v>394</v>
      </c>
    </row>
    <row r="40" spans="1:1" ht="15" x14ac:dyDescent="0.15">
      <c r="A40" s="1" t="s">
        <v>392</v>
      </c>
    </row>
    <row r="41" spans="1:1" ht="15" x14ac:dyDescent="0.15">
      <c r="A41" s="1" t="s">
        <v>395</v>
      </c>
    </row>
    <row r="42" spans="1:1" ht="15" x14ac:dyDescent="0.15">
      <c r="A42" s="1" t="s">
        <v>393</v>
      </c>
    </row>
    <row r="43" spans="1:1" ht="15" x14ac:dyDescent="0.15">
      <c r="A43" s="1" t="s">
        <v>396</v>
      </c>
    </row>
    <row r="44" spans="1:1" ht="15" x14ac:dyDescent="0.15">
      <c r="A44" s="1" t="s">
        <v>399</v>
      </c>
    </row>
    <row r="45" spans="1:1" ht="15" x14ac:dyDescent="0.15">
      <c r="A45" s="1" t="s">
        <v>400</v>
      </c>
    </row>
    <row r="46" spans="1:1" ht="15" x14ac:dyDescent="0.15">
      <c r="A46" s="1" t="s">
        <v>401</v>
      </c>
    </row>
    <row r="47" spans="1:1" ht="15" x14ac:dyDescent="0.15">
      <c r="A47" s="1" t="s">
        <v>402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abSelected="1" topLeftCell="A85" workbookViewId="0">
      <selection activeCell="F115" sqref="F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412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411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403</v>
      </c>
      <c r="B85" s="12" t="s">
        <v>406</v>
      </c>
      <c r="C85" s="7"/>
      <c r="D85" s="7"/>
      <c r="E85" s="9"/>
      <c r="F85" s="9"/>
      <c r="G85" t="s">
        <v>414</v>
      </c>
    </row>
    <row r="86" spans="1:7" ht="15" x14ac:dyDescent="0.15">
      <c r="A86" s="8" t="s">
        <v>405</v>
      </c>
      <c r="B86" s="12" t="s">
        <v>407</v>
      </c>
      <c r="C86" s="7"/>
      <c r="D86" s="7"/>
      <c r="E86" s="9"/>
      <c r="F86" s="9"/>
      <c r="G86" t="s">
        <v>415</v>
      </c>
    </row>
    <row r="87" spans="1:7" ht="15" x14ac:dyDescent="0.15">
      <c r="A87" s="8" t="s">
        <v>408</v>
      </c>
      <c r="B87" s="12" t="s">
        <v>409</v>
      </c>
      <c r="G87" t="s">
        <v>413</v>
      </c>
    </row>
    <row r="88" spans="1:7" ht="15" x14ac:dyDescent="0.15">
      <c r="A88" s="8" t="s">
        <v>416</v>
      </c>
      <c r="B88" s="12" t="s">
        <v>443</v>
      </c>
    </row>
    <row r="89" spans="1:7" ht="15" x14ac:dyDescent="0.15">
      <c r="A89" s="19" t="s">
        <v>419</v>
      </c>
      <c r="B89" s="12" t="s">
        <v>444</v>
      </c>
    </row>
    <row r="90" spans="1:7" ht="15" x14ac:dyDescent="0.15">
      <c r="A90" s="8" t="s">
        <v>421</v>
      </c>
      <c r="B90" s="12" t="s">
        <v>445</v>
      </c>
    </row>
    <row r="91" spans="1:7" ht="15" x14ac:dyDescent="0.15">
      <c r="A91" s="20" t="s">
        <v>426</v>
      </c>
      <c r="B91" s="12" t="s">
        <v>446</v>
      </c>
    </row>
    <row r="92" spans="1:7" ht="15" x14ac:dyDescent="0.15">
      <c r="A92" s="8" t="s">
        <v>423</v>
      </c>
      <c r="B92" s="12" t="s">
        <v>447</v>
      </c>
      <c r="G92" t="s">
        <v>456</v>
      </c>
    </row>
    <row r="93" spans="1:7" ht="15" x14ac:dyDescent="0.15">
      <c r="A93" s="20" t="s">
        <v>425</v>
      </c>
      <c r="B93" s="12" t="s">
        <v>448</v>
      </c>
    </row>
    <row r="94" spans="1:7" ht="15" x14ac:dyDescent="0.15">
      <c r="A94" s="20" t="s">
        <v>427</v>
      </c>
      <c r="B94" s="12" t="s">
        <v>449</v>
      </c>
    </row>
    <row r="95" spans="1:7" ht="15" x14ac:dyDescent="0.15">
      <c r="A95" s="20" t="s">
        <v>428</v>
      </c>
      <c r="B95" s="12" t="s">
        <v>450</v>
      </c>
    </row>
    <row r="96" spans="1:7" ht="15" x14ac:dyDescent="0.15">
      <c r="A96" s="20" t="s">
        <v>429</v>
      </c>
      <c r="B96" s="12" t="s">
        <v>451</v>
      </c>
      <c r="G96" t="s">
        <v>457</v>
      </c>
    </row>
    <row r="97" spans="1:7" ht="15" x14ac:dyDescent="0.15">
      <c r="A97" s="20" t="s">
        <v>430</v>
      </c>
      <c r="B97" s="12" t="s">
        <v>452</v>
      </c>
      <c r="G97" t="s">
        <v>458</v>
      </c>
    </row>
    <row r="98" spans="1:7" ht="15" x14ac:dyDescent="0.15">
      <c r="A98" s="20" t="s">
        <v>431</v>
      </c>
      <c r="B98" s="12" t="s">
        <v>453</v>
      </c>
    </row>
    <row r="99" spans="1:7" ht="15" x14ac:dyDescent="0.15">
      <c r="A99" s="20" t="s">
        <v>432</v>
      </c>
      <c r="B99" s="12" t="s">
        <v>454</v>
      </c>
    </row>
    <row r="100" spans="1:7" ht="15" x14ac:dyDescent="0.15">
      <c r="A100" s="20" t="s">
        <v>433</v>
      </c>
      <c r="B100" s="12" t="s">
        <v>455</v>
      </c>
      <c r="G100" t="s">
        <v>459</v>
      </c>
    </row>
    <row r="101" spans="1:7" ht="15" x14ac:dyDescent="0.15">
      <c r="A101" s="23" t="s">
        <v>504</v>
      </c>
      <c r="B101" s="12" t="s">
        <v>494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23" t="s">
        <v>506</v>
      </c>
      <c r="B102" s="12" t="s">
        <v>505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23" t="s">
        <v>507</v>
      </c>
      <c r="B103" s="12" t="s">
        <v>495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23" t="s">
        <v>508</v>
      </c>
      <c r="B104" s="12" t="s">
        <v>496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23" t="s">
        <v>509</v>
      </c>
      <c r="B105" s="12" t="s">
        <v>497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23" t="s">
        <v>510</v>
      </c>
      <c r="B106" s="12" t="s">
        <v>498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23" t="s">
        <v>511</v>
      </c>
      <c r="B107" s="12" t="s">
        <v>499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23" t="s">
        <v>512</v>
      </c>
      <c r="B108" s="12" t="s">
        <v>500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23" t="s">
        <v>513</v>
      </c>
      <c r="B109" s="12" t="s">
        <v>501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23" t="s">
        <v>514</v>
      </c>
      <c r="B110" s="12" t="s">
        <v>502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24" t="s">
        <v>492</v>
      </c>
      <c r="B111" s="12" t="s">
        <v>503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workbookViewId="0">
      <selection activeCell="D4" sqref="D4:D63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388</v>
      </c>
      <c r="C1" s="33"/>
      <c r="D1" s="33"/>
      <c r="G1" s="13" t="s">
        <v>389</v>
      </c>
      <c r="H1" s="13" t="s">
        <v>389</v>
      </c>
      <c r="I1" s="13" t="s">
        <v>389</v>
      </c>
      <c r="J1" s="13" t="s">
        <v>389</v>
      </c>
      <c r="K1" s="13" t="s">
        <v>389</v>
      </c>
      <c r="L1" s="13" t="s">
        <v>389</v>
      </c>
      <c r="M1" s="13" t="s">
        <v>389</v>
      </c>
      <c r="N1" s="13" t="s">
        <v>389</v>
      </c>
      <c r="O1" s="13" t="s">
        <v>389</v>
      </c>
    </row>
    <row r="2" spans="1:16" x14ac:dyDescent="0.15">
      <c r="A2" t="s">
        <v>1</v>
      </c>
      <c r="B2" t="s">
        <v>1</v>
      </c>
      <c r="C2" s="13" t="s">
        <v>324</v>
      </c>
      <c r="D2" s="14" t="s">
        <v>385</v>
      </c>
      <c r="E2" s="13" t="s">
        <v>386</v>
      </c>
      <c r="F2" s="34" t="s">
        <v>387</v>
      </c>
      <c r="G2" s="34"/>
      <c r="H2" s="34"/>
    </row>
    <row r="3" spans="1:16" ht="15" x14ac:dyDescent="0.15">
      <c r="A3" s="15"/>
      <c r="B3" s="15" t="s">
        <v>322</v>
      </c>
      <c r="C3" s="35" t="s">
        <v>323</v>
      </c>
      <c r="D3" s="7" t="s">
        <v>311</v>
      </c>
      <c r="E3" s="7" t="s">
        <v>312</v>
      </c>
      <c r="F3" s="35" t="s">
        <v>321</v>
      </c>
      <c r="G3" s="7" t="s">
        <v>313</v>
      </c>
      <c r="H3" s="7" t="s">
        <v>314</v>
      </c>
      <c r="I3" s="7" t="s">
        <v>315</v>
      </c>
      <c r="J3" s="7" t="s">
        <v>316</v>
      </c>
      <c r="K3" s="7" t="s">
        <v>317</v>
      </c>
      <c r="L3" s="7" t="s">
        <v>318</v>
      </c>
      <c r="M3" s="7" t="s">
        <v>319</v>
      </c>
      <c r="N3" s="7" t="s">
        <v>320</v>
      </c>
      <c r="O3" s="8" t="s">
        <v>390</v>
      </c>
      <c r="P3" s="8" t="s">
        <v>467</v>
      </c>
    </row>
    <row r="4" spans="1:16" ht="15" x14ac:dyDescent="0.15">
      <c r="A4" s="16" t="s">
        <v>325</v>
      </c>
      <c r="B4" s="16" t="s">
        <v>325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I4*0.01*0.5</f>
        <v>0.6</v>
      </c>
      <c r="N4" s="32">
        <f>J4*0.01</f>
        <v>0.6</v>
      </c>
      <c r="O4" s="7">
        <v>100</v>
      </c>
      <c r="P4" s="32">
        <v>0</v>
      </c>
    </row>
    <row r="5" spans="1:16" ht="15" x14ac:dyDescent="0.15">
      <c r="A5" s="16" t="s">
        <v>326</v>
      </c>
      <c r="B5" s="16" t="s">
        <v>326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100</v>
      </c>
      <c r="P5" s="32">
        <v>0</v>
      </c>
    </row>
    <row r="6" spans="1:16" ht="15" x14ac:dyDescent="0.15">
      <c r="A6" s="16" t="s">
        <v>327</v>
      </c>
      <c r="B6" s="16" t="s">
        <v>327</v>
      </c>
      <c r="C6" s="28">
        <v>3</v>
      </c>
      <c r="D6" s="29">
        <f t="shared" ref="D6:D63" si="3">D5+0.5</f>
        <v>16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1.5</v>
      </c>
      <c r="M6" s="32">
        <f t="shared" si="1"/>
        <v>3.4317600000000006</v>
      </c>
      <c r="N6" s="32">
        <f t="shared" si="2"/>
        <v>3.4317600000000006</v>
      </c>
      <c r="O6" s="7">
        <v>100</v>
      </c>
      <c r="P6" s="32">
        <v>0</v>
      </c>
    </row>
    <row r="7" spans="1:16" ht="15" x14ac:dyDescent="0.15">
      <c r="A7" s="16" t="s">
        <v>328</v>
      </c>
      <c r="B7" s="16" t="s">
        <v>328</v>
      </c>
      <c r="C7" s="28">
        <v>4</v>
      </c>
      <c r="D7" s="29">
        <f t="shared" si="3"/>
        <v>16.5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1.5</v>
      </c>
      <c r="M7" s="32">
        <f t="shared" si="1"/>
        <v>5.2516356000000011</v>
      </c>
      <c r="N7" s="32">
        <f t="shared" si="2"/>
        <v>5.2516356000000011</v>
      </c>
      <c r="O7" s="7">
        <v>100</v>
      </c>
      <c r="P7" s="32">
        <v>0</v>
      </c>
    </row>
    <row r="8" spans="1:16" ht="15" x14ac:dyDescent="0.15">
      <c r="A8" s="16" t="s">
        <v>329</v>
      </c>
      <c r="B8" s="16" t="s">
        <v>329</v>
      </c>
      <c r="C8" s="28">
        <v>5</v>
      </c>
      <c r="D8" s="29">
        <f t="shared" si="3"/>
        <v>17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1.5</v>
      </c>
      <c r="M8" s="32">
        <f t="shared" si="1"/>
        <v>7.4081881860000012</v>
      </c>
      <c r="N8" s="32">
        <f t="shared" si="2"/>
        <v>7.4081881860000012</v>
      </c>
      <c r="O8" s="7">
        <v>100</v>
      </c>
      <c r="P8" s="32">
        <v>0</v>
      </c>
    </row>
    <row r="9" spans="1:16" ht="15" x14ac:dyDescent="0.15">
      <c r="A9" s="16" t="s">
        <v>330</v>
      </c>
      <c r="B9" s="16" t="s">
        <v>330</v>
      </c>
      <c r="C9" s="28">
        <v>6</v>
      </c>
      <c r="D9" s="29">
        <f t="shared" si="3"/>
        <v>17.5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1.5</v>
      </c>
      <c r="M9" s="32">
        <f t="shared" si="1"/>
        <v>9.9637030004100016</v>
      </c>
      <c r="N9" s="32">
        <f t="shared" si="2"/>
        <v>9.9637030004100016</v>
      </c>
      <c r="O9" s="7">
        <v>100</v>
      </c>
      <c r="P9" s="32">
        <v>10</v>
      </c>
    </row>
    <row r="10" spans="1:16" ht="15" x14ac:dyDescent="0.15">
      <c r="A10" s="16" t="s">
        <v>331</v>
      </c>
      <c r="B10" s="16" t="s">
        <v>331</v>
      </c>
      <c r="C10" s="28">
        <v>7</v>
      </c>
      <c r="D10" s="29">
        <f t="shared" si="3"/>
        <v>18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1.5</v>
      </c>
      <c r="M10" s="32">
        <f t="shared" si="1"/>
        <v>12.991988055485852</v>
      </c>
      <c r="N10" s="32">
        <f t="shared" si="2"/>
        <v>12.991988055485852</v>
      </c>
      <c r="O10" s="7">
        <v>100</v>
      </c>
      <c r="P10" s="32">
        <v>10</v>
      </c>
    </row>
    <row r="11" spans="1:16" ht="15" x14ac:dyDescent="0.15">
      <c r="A11" s="16" t="s">
        <v>332</v>
      </c>
      <c r="B11" s="16" t="s">
        <v>332</v>
      </c>
      <c r="C11" s="28">
        <v>8</v>
      </c>
      <c r="D11" s="29">
        <f t="shared" si="3"/>
        <v>18.5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1.5</v>
      </c>
      <c r="M11" s="32">
        <f t="shared" si="1"/>
        <v>16.580505845750736</v>
      </c>
      <c r="N11" s="32">
        <f t="shared" si="2"/>
        <v>16.580505845750736</v>
      </c>
      <c r="O11" s="7">
        <v>100</v>
      </c>
      <c r="P11" s="32">
        <v>10</v>
      </c>
    </row>
    <row r="12" spans="1:16" ht="15" x14ac:dyDescent="0.15">
      <c r="A12" s="16" t="s">
        <v>333</v>
      </c>
      <c r="B12" s="16" t="s">
        <v>333</v>
      </c>
      <c r="C12" s="28">
        <v>9</v>
      </c>
      <c r="D12" s="29">
        <f t="shared" si="3"/>
        <v>19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1.5</v>
      </c>
      <c r="M12" s="32">
        <f t="shared" si="1"/>
        <v>20.832899427214624</v>
      </c>
      <c r="N12" s="32">
        <f t="shared" si="2"/>
        <v>20.832899427214624</v>
      </c>
      <c r="O12" s="7">
        <v>100</v>
      </c>
      <c r="P12" s="32">
        <v>10</v>
      </c>
    </row>
    <row r="13" spans="1:16" ht="15" x14ac:dyDescent="0.15">
      <c r="A13" s="16" t="s">
        <v>334</v>
      </c>
      <c r="B13" s="16" t="s">
        <v>334</v>
      </c>
      <c r="C13" s="28">
        <v>10</v>
      </c>
      <c r="D13" s="29">
        <f t="shared" si="3"/>
        <v>19.5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1.5</v>
      </c>
      <c r="M13" s="32">
        <f t="shared" si="1"/>
        <v>25.871985821249332</v>
      </c>
      <c r="N13" s="32">
        <f t="shared" si="2"/>
        <v>25.871985821249332</v>
      </c>
      <c r="O13" s="7">
        <v>100</v>
      </c>
      <c r="P13" s="32">
        <v>10</v>
      </c>
    </row>
    <row r="14" spans="1:16" ht="15" x14ac:dyDescent="0.15">
      <c r="A14" s="16" t="s">
        <v>335</v>
      </c>
      <c r="B14" s="16" t="s">
        <v>335</v>
      </c>
      <c r="C14" s="28">
        <v>11</v>
      </c>
      <c r="D14" s="29">
        <f t="shared" si="3"/>
        <v>20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1.5</v>
      </c>
      <c r="M14" s="32">
        <f t="shared" si="1"/>
        <v>31.843303198180461</v>
      </c>
      <c r="N14" s="32">
        <f t="shared" si="2"/>
        <v>31.843303198180461</v>
      </c>
      <c r="O14" s="7">
        <v>100</v>
      </c>
      <c r="P14" s="32">
        <v>10</v>
      </c>
    </row>
    <row r="15" spans="1:16" ht="15" x14ac:dyDescent="0.15">
      <c r="A15" s="16" t="s">
        <v>336</v>
      </c>
      <c r="B15" s="16" t="s">
        <v>336</v>
      </c>
      <c r="C15" s="28">
        <v>12</v>
      </c>
      <c r="D15" s="29">
        <f t="shared" si="3"/>
        <v>20.5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1.5</v>
      </c>
      <c r="M15" s="32">
        <f t="shared" si="1"/>
        <v>38.919314289843847</v>
      </c>
      <c r="N15" s="32">
        <f t="shared" si="2"/>
        <v>38.919314289843847</v>
      </c>
      <c r="O15" s="7">
        <v>100</v>
      </c>
      <c r="P15" s="32">
        <v>10</v>
      </c>
    </row>
    <row r="16" spans="1:16" ht="15" x14ac:dyDescent="0.15">
      <c r="A16" s="16" t="s">
        <v>337</v>
      </c>
      <c r="B16" s="16" t="s">
        <v>337</v>
      </c>
      <c r="C16" s="28">
        <v>13</v>
      </c>
      <c r="D16" s="29">
        <f t="shared" si="3"/>
        <v>21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1.5</v>
      </c>
      <c r="M16" s="32">
        <f t="shared" si="1"/>
        <v>47.30438743346496</v>
      </c>
      <c r="N16" s="32">
        <f t="shared" si="2"/>
        <v>47.30438743346496</v>
      </c>
      <c r="O16" s="7">
        <v>100</v>
      </c>
      <c r="P16" s="32">
        <v>10</v>
      </c>
    </row>
    <row r="17" spans="1:16" ht="15" x14ac:dyDescent="0.15">
      <c r="A17" s="16" t="s">
        <v>338</v>
      </c>
      <c r="B17" s="16" t="s">
        <v>338</v>
      </c>
      <c r="C17" s="28">
        <v>14</v>
      </c>
      <c r="D17" s="29">
        <f t="shared" si="3"/>
        <v>21.5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1.5</v>
      </c>
      <c r="M17" s="32">
        <f t="shared" si="1"/>
        <v>57.240699108655981</v>
      </c>
      <c r="N17" s="32">
        <f t="shared" si="2"/>
        <v>57.240699108655981</v>
      </c>
      <c r="O17" s="7">
        <v>100</v>
      </c>
      <c r="P17" s="32">
        <v>10</v>
      </c>
    </row>
    <row r="18" spans="1:16" ht="15" x14ac:dyDescent="0.15">
      <c r="A18" s="16" t="s">
        <v>339</v>
      </c>
      <c r="B18" s="16" t="s">
        <v>339</v>
      </c>
      <c r="C18" s="28">
        <v>15</v>
      </c>
      <c r="D18" s="29">
        <f t="shared" si="3"/>
        <v>22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1.5</v>
      </c>
      <c r="M18" s="32">
        <f t="shared" si="1"/>
        <v>69.015228443757337</v>
      </c>
      <c r="N18" s="32">
        <f t="shared" si="2"/>
        <v>69.015228443757337</v>
      </c>
      <c r="O18" s="7">
        <v>100</v>
      </c>
      <c r="P18" s="32">
        <v>10</v>
      </c>
    </row>
    <row r="19" spans="1:16" ht="15" x14ac:dyDescent="0.15">
      <c r="A19" s="16" t="s">
        <v>340</v>
      </c>
      <c r="B19" s="16" t="s">
        <v>340</v>
      </c>
      <c r="C19" s="28">
        <v>16</v>
      </c>
      <c r="D19" s="29">
        <f t="shared" si="3"/>
        <v>22.5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1.5</v>
      </c>
      <c r="M19" s="32">
        <f t="shared" si="1"/>
        <v>82.968045705852461</v>
      </c>
      <c r="N19" s="32">
        <f t="shared" si="2"/>
        <v>82.968045705852461</v>
      </c>
      <c r="O19" s="7">
        <v>100</v>
      </c>
      <c r="P19" s="32">
        <v>20</v>
      </c>
    </row>
    <row r="20" spans="1:16" ht="15" x14ac:dyDescent="0.15">
      <c r="A20" s="16" t="s">
        <v>341</v>
      </c>
      <c r="B20" s="16" t="s">
        <v>341</v>
      </c>
      <c r="C20" s="28">
        <v>17</v>
      </c>
      <c r="D20" s="29">
        <f t="shared" si="3"/>
        <v>23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1.5</v>
      </c>
      <c r="M20" s="32">
        <f t="shared" si="1"/>
        <v>99.502134161435166</v>
      </c>
      <c r="N20" s="32">
        <f t="shared" si="2"/>
        <v>99.502134161435166</v>
      </c>
      <c r="O20" s="7">
        <v>100</v>
      </c>
      <c r="P20" s="32">
        <v>20</v>
      </c>
    </row>
    <row r="21" spans="1:16" ht="15" x14ac:dyDescent="0.15">
      <c r="A21" s="16" t="s">
        <v>342</v>
      </c>
      <c r="B21" s="16" t="s">
        <v>342</v>
      </c>
      <c r="C21" s="28">
        <v>18</v>
      </c>
      <c r="D21" s="29">
        <f t="shared" si="3"/>
        <v>23.5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1.5</v>
      </c>
      <c r="M21" s="32">
        <f t="shared" si="1"/>
        <v>119.09502898130067</v>
      </c>
      <c r="N21" s="32">
        <f t="shared" si="2"/>
        <v>119.09502898130067</v>
      </c>
      <c r="O21" s="7">
        <v>100</v>
      </c>
      <c r="P21" s="32">
        <v>20</v>
      </c>
    </row>
    <row r="22" spans="1:16" ht="15" x14ac:dyDescent="0.15">
      <c r="A22" s="16" t="s">
        <v>343</v>
      </c>
      <c r="B22" s="16" t="s">
        <v>343</v>
      </c>
      <c r="C22" s="28">
        <v>19</v>
      </c>
      <c r="D22" s="29">
        <f t="shared" si="3"/>
        <v>24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1.5</v>
      </c>
      <c r="M22" s="32">
        <f t="shared" si="1"/>
        <v>142.31260934284131</v>
      </c>
      <c r="N22" s="32">
        <f t="shared" si="2"/>
        <v>142.31260934284131</v>
      </c>
      <c r="O22" s="7">
        <v>100</v>
      </c>
      <c r="P22" s="32">
        <v>20</v>
      </c>
    </row>
    <row r="23" spans="1:16" ht="15" x14ac:dyDescent="0.15">
      <c r="A23" s="16" t="s">
        <v>344</v>
      </c>
      <c r="B23" s="16" t="s">
        <v>344</v>
      </c>
      <c r="C23" s="28">
        <v>20</v>
      </c>
      <c r="D23" s="29">
        <f t="shared" si="3"/>
        <v>24.5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1.5</v>
      </c>
      <c r="M23" s="32">
        <f t="shared" si="1"/>
        <v>169.82544207126696</v>
      </c>
      <c r="N23" s="32">
        <f t="shared" si="2"/>
        <v>169.82544207126696</v>
      </c>
      <c r="O23" s="7">
        <v>100</v>
      </c>
      <c r="P23" s="32">
        <v>20</v>
      </c>
    </row>
    <row r="24" spans="1:16" ht="15" x14ac:dyDescent="0.15">
      <c r="A24" s="16" t="s">
        <v>345</v>
      </c>
      <c r="B24" s="16" t="s">
        <v>345</v>
      </c>
      <c r="C24" s="28">
        <v>21</v>
      </c>
      <c r="D24" s="29">
        <f t="shared" si="3"/>
        <v>25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1.5</v>
      </c>
      <c r="M24" s="32">
        <f t="shared" si="1"/>
        <v>202.42814885445136</v>
      </c>
      <c r="N24" s="32">
        <f t="shared" si="2"/>
        <v>202.42814885445136</v>
      </c>
      <c r="O24" s="7">
        <v>100</v>
      </c>
      <c r="P24" s="32">
        <v>20</v>
      </c>
    </row>
    <row r="25" spans="1:16" ht="15" x14ac:dyDescent="0.15">
      <c r="A25" s="16" t="s">
        <v>346</v>
      </c>
      <c r="B25" s="16" t="s">
        <v>346</v>
      </c>
      <c r="C25" s="28">
        <v>22</v>
      </c>
      <c r="D25" s="29">
        <f t="shared" si="3"/>
        <v>25.5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1.5</v>
      </c>
      <c r="M25" s="32">
        <f t="shared" si="1"/>
        <v>241.06235639252486</v>
      </c>
      <c r="N25" s="32">
        <f t="shared" si="2"/>
        <v>241.06235639252486</v>
      </c>
      <c r="O25" s="7">
        <v>100</v>
      </c>
      <c r="P25" s="32">
        <v>20</v>
      </c>
    </row>
    <row r="26" spans="1:16" ht="15" x14ac:dyDescent="0.15">
      <c r="A26" s="16" t="s">
        <v>347</v>
      </c>
      <c r="B26" s="16" t="s">
        <v>347</v>
      </c>
      <c r="C26" s="28">
        <v>23</v>
      </c>
      <c r="D26" s="29">
        <f t="shared" si="3"/>
        <v>26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1.5</v>
      </c>
      <c r="M26" s="32">
        <f t="shared" si="1"/>
        <v>286.84389232514195</v>
      </c>
      <c r="N26" s="32">
        <f t="shared" si="2"/>
        <v>286.84389232514195</v>
      </c>
      <c r="O26" s="7">
        <v>100</v>
      </c>
      <c r="P26" s="32">
        <v>20</v>
      </c>
    </row>
    <row r="27" spans="1:16" ht="15" x14ac:dyDescent="0.15">
      <c r="A27" s="16" t="s">
        <v>348</v>
      </c>
      <c r="B27" s="16" t="s">
        <v>348</v>
      </c>
      <c r="C27" s="28">
        <v>24</v>
      </c>
      <c r="D27" s="29">
        <f t="shared" si="3"/>
        <v>26.5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1.5</v>
      </c>
      <c r="M27" s="32">
        <f t="shared" si="1"/>
        <v>341.09501240529323</v>
      </c>
      <c r="N27" s="32">
        <f t="shared" si="2"/>
        <v>341.09501240529323</v>
      </c>
      <c r="O27" s="7">
        <v>100</v>
      </c>
      <c r="P27" s="32">
        <v>20</v>
      </c>
    </row>
    <row r="28" spans="1:16" ht="15" x14ac:dyDescent="0.15">
      <c r="A28" s="16" t="s">
        <v>349</v>
      </c>
      <c r="B28" s="16" t="s">
        <v>349</v>
      </c>
      <c r="C28" s="28">
        <v>25</v>
      </c>
      <c r="D28" s="29">
        <f t="shared" si="3"/>
        <v>27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1.5</v>
      </c>
      <c r="M28" s="32">
        <f t="shared" si="1"/>
        <v>405.38258970027255</v>
      </c>
      <c r="N28" s="32">
        <f t="shared" si="2"/>
        <v>405.38258970027255</v>
      </c>
      <c r="O28" s="7">
        <v>100</v>
      </c>
      <c r="P28" s="32">
        <v>20</v>
      </c>
    </row>
    <row r="29" spans="1:16" ht="15" x14ac:dyDescent="0.15">
      <c r="A29" s="16" t="s">
        <v>350</v>
      </c>
      <c r="B29" s="16" t="s">
        <v>350</v>
      </c>
      <c r="C29" s="28">
        <v>26</v>
      </c>
      <c r="D29" s="29">
        <f t="shared" si="3"/>
        <v>27.5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1.5</v>
      </c>
      <c r="M29" s="32">
        <f t="shared" si="1"/>
        <v>481.56336879482296</v>
      </c>
      <c r="N29" s="32">
        <f t="shared" si="2"/>
        <v>481.56336879482296</v>
      </c>
      <c r="O29" s="7">
        <v>100</v>
      </c>
      <c r="P29" s="32">
        <v>30</v>
      </c>
    </row>
    <row r="30" spans="1:16" ht="15" x14ac:dyDescent="0.15">
      <c r="A30" s="16" t="s">
        <v>351</v>
      </c>
      <c r="B30" s="16" t="s">
        <v>351</v>
      </c>
      <c r="C30" s="28">
        <v>27</v>
      </c>
      <c r="D30" s="29">
        <f t="shared" si="3"/>
        <v>28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1.5</v>
      </c>
      <c r="M30" s="32">
        <f t="shared" si="1"/>
        <v>571.83759202186525</v>
      </c>
      <c r="N30" s="32">
        <f t="shared" si="2"/>
        <v>571.83759202186525</v>
      </c>
      <c r="O30" s="7">
        <v>100</v>
      </c>
      <c r="P30" s="32">
        <v>30</v>
      </c>
    </row>
    <row r="31" spans="1:16" ht="15" x14ac:dyDescent="0.15">
      <c r="A31" s="16" t="s">
        <v>352</v>
      </c>
      <c r="B31" s="16" t="s">
        <v>352</v>
      </c>
      <c r="C31" s="28">
        <v>28</v>
      </c>
      <c r="D31" s="29">
        <f t="shared" si="3"/>
        <v>28.5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1.5</v>
      </c>
      <c r="M31" s="32">
        <f t="shared" si="1"/>
        <v>678.81254654591032</v>
      </c>
      <c r="N31" s="32">
        <f t="shared" si="2"/>
        <v>678.81254654591032</v>
      </c>
      <c r="O31" s="7">
        <v>100</v>
      </c>
      <c r="P31" s="32">
        <v>30</v>
      </c>
    </row>
    <row r="32" spans="1:16" ht="15" x14ac:dyDescent="0.15">
      <c r="A32" s="16" t="s">
        <v>353</v>
      </c>
      <c r="B32" s="16" t="s">
        <v>353</v>
      </c>
      <c r="C32" s="28">
        <v>29</v>
      </c>
      <c r="D32" s="29">
        <f t="shared" si="3"/>
        <v>29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1.5</v>
      </c>
      <c r="M32" s="32">
        <f t="shared" si="1"/>
        <v>805.57786765690366</v>
      </c>
      <c r="N32" s="32">
        <f t="shared" si="2"/>
        <v>805.57786765690366</v>
      </c>
      <c r="O32" s="7">
        <v>100</v>
      </c>
      <c r="P32" s="32">
        <v>30</v>
      </c>
    </row>
    <row r="33" spans="1:16" ht="15" x14ac:dyDescent="0.15">
      <c r="A33" s="16" t="s">
        <v>354</v>
      </c>
      <c r="B33" s="16" t="s">
        <v>354</v>
      </c>
      <c r="C33" s="28">
        <v>30</v>
      </c>
      <c r="D33" s="29">
        <f t="shared" si="3"/>
        <v>29.5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1.5</v>
      </c>
      <c r="M33" s="32">
        <f t="shared" si="1"/>
        <v>955.79477317343094</v>
      </c>
      <c r="N33" s="32">
        <f t="shared" si="2"/>
        <v>955.79477317343094</v>
      </c>
      <c r="O33" s="7">
        <v>100</v>
      </c>
      <c r="P33" s="32">
        <v>30</v>
      </c>
    </row>
    <row r="34" spans="1:16" ht="15" x14ac:dyDescent="0.15">
      <c r="A34" s="16" t="s">
        <v>355</v>
      </c>
      <c r="B34" s="16" t="s">
        <v>355</v>
      </c>
      <c r="C34" s="28">
        <v>31</v>
      </c>
      <c r="D34" s="29">
        <f t="shared" si="3"/>
        <v>30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1.5</v>
      </c>
      <c r="M34" s="32">
        <f t="shared" si="1"/>
        <v>1133.8018062105157</v>
      </c>
      <c r="N34" s="32">
        <f t="shared" si="2"/>
        <v>1133.8018062105157</v>
      </c>
      <c r="O34" s="7">
        <v>100</v>
      </c>
      <c r="P34" s="32">
        <v>30</v>
      </c>
    </row>
    <row r="35" spans="1:16" ht="15" x14ac:dyDescent="0.15">
      <c r="A35" s="16" t="s">
        <v>356</v>
      </c>
      <c r="B35" s="16" t="s">
        <v>356</v>
      </c>
      <c r="C35" s="28">
        <v>32</v>
      </c>
      <c r="D35" s="29">
        <f t="shared" si="3"/>
        <v>30.5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1.5</v>
      </c>
      <c r="M35" s="32">
        <f t="shared" si="1"/>
        <v>1344.7401403594611</v>
      </c>
      <c r="N35" s="32">
        <f t="shared" si="2"/>
        <v>1344.7401403594611</v>
      </c>
      <c r="O35" s="7">
        <v>100</v>
      </c>
      <c r="P35" s="32">
        <v>30</v>
      </c>
    </row>
    <row r="36" spans="1:16" ht="15" x14ac:dyDescent="0.15">
      <c r="A36" s="16" t="s">
        <v>357</v>
      </c>
      <c r="B36" s="16" t="s">
        <v>357</v>
      </c>
      <c r="C36" s="28">
        <v>33</v>
      </c>
      <c r="D36" s="29">
        <f t="shared" si="3"/>
        <v>31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1.5</v>
      </c>
      <c r="M36" s="32">
        <f t="shared" si="1"/>
        <v>1594.7020663259616</v>
      </c>
      <c r="N36" s="32">
        <f t="shared" si="2"/>
        <v>1594.7020663259616</v>
      </c>
      <c r="O36" s="7">
        <v>100</v>
      </c>
      <c r="P36" s="32">
        <v>30</v>
      </c>
    </row>
    <row r="37" spans="1:16" ht="15" x14ac:dyDescent="0.15">
      <c r="A37" s="16" t="s">
        <v>358</v>
      </c>
      <c r="B37" s="16" t="s">
        <v>358</v>
      </c>
      <c r="C37" s="28">
        <v>34</v>
      </c>
      <c r="D37" s="29">
        <f t="shared" si="3"/>
        <v>31.5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1.5</v>
      </c>
      <c r="M37" s="32">
        <f t="shared" si="1"/>
        <v>1890.9069485962646</v>
      </c>
      <c r="N37" s="32">
        <f t="shared" si="2"/>
        <v>1890.9069485962646</v>
      </c>
      <c r="O37" s="7">
        <v>100</v>
      </c>
      <c r="P37" s="32">
        <v>30</v>
      </c>
    </row>
    <row r="38" spans="1:16" ht="15" x14ac:dyDescent="0.15">
      <c r="A38" s="16" t="s">
        <v>359</v>
      </c>
      <c r="B38" s="16" t="s">
        <v>359</v>
      </c>
      <c r="C38" s="28">
        <v>35</v>
      </c>
      <c r="D38" s="29">
        <f t="shared" si="3"/>
        <v>32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1.5</v>
      </c>
      <c r="M38" s="32">
        <f t="shared" si="1"/>
        <v>2241.9097340865733</v>
      </c>
      <c r="N38" s="32">
        <f t="shared" si="2"/>
        <v>2241.9097340865733</v>
      </c>
      <c r="O38" s="7">
        <v>100</v>
      </c>
      <c r="P38" s="32">
        <v>30</v>
      </c>
    </row>
    <row r="39" spans="1:16" ht="15" x14ac:dyDescent="0.15">
      <c r="A39" s="16" t="s">
        <v>360</v>
      </c>
      <c r="B39" s="16" t="s">
        <v>360</v>
      </c>
      <c r="C39" s="28">
        <v>36</v>
      </c>
      <c r="D39" s="29">
        <f t="shared" si="3"/>
        <v>32.5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1.5</v>
      </c>
      <c r="M39" s="32">
        <f t="shared" si="1"/>
        <v>2657.8480348925891</v>
      </c>
      <c r="N39" s="32">
        <f t="shared" si="2"/>
        <v>2657.8480348925891</v>
      </c>
      <c r="O39" s="7">
        <v>100</v>
      </c>
      <c r="P39" s="32">
        <v>40</v>
      </c>
    </row>
    <row r="40" spans="1:16" ht="15" x14ac:dyDescent="0.15">
      <c r="A40" s="16" t="s">
        <v>361</v>
      </c>
      <c r="B40" s="16" t="s">
        <v>361</v>
      </c>
      <c r="C40" s="28">
        <v>37</v>
      </c>
      <c r="D40" s="29">
        <f t="shared" si="3"/>
        <v>33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1.5</v>
      </c>
      <c r="M40" s="32">
        <f t="shared" si="1"/>
        <v>3150.7349213477182</v>
      </c>
      <c r="N40" s="32">
        <f t="shared" si="2"/>
        <v>3150.7349213477182</v>
      </c>
      <c r="O40" s="7">
        <v>100</v>
      </c>
      <c r="P40" s="32">
        <v>40</v>
      </c>
    </row>
    <row r="41" spans="1:16" ht="15" x14ac:dyDescent="0.15">
      <c r="A41" s="16" t="s">
        <v>362</v>
      </c>
      <c r="B41" s="16" t="s">
        <v>362</v>
      </c>
      <c r="C41" s="28">
        <v>38</v>
      </c>
      <c r="D41" s="29">
        <f t="shared" si="3"/>
        <v>33.5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1.5</v>
      </c>
      <c r="M41" s="32">
        <f t="shared" si="1"/>
        <v>3734.8058817970464</v>
      </c>
      <c r="N41" s="32">
        <f t="shared" si="2"/>
        <v>3734.8058817970464</v>
      </c>
      <c r="O41" s="7">
        <v>100</v>
      </c>
      <c r="P41" s="32">
        <v>40</v>
      </c>
    </row>
    <row r="42" spans="1:16" ht="15" x14ac:dyDescent="0.15">
      <c r="A42" s="16" t="s">
        <v>363</v>
      </c>
      <c r="B42" s="16" t="s">
        <v>363</v>
      </c>
      <c r="C42" s="28">
        <v>39</v>
      </c>
      <c r="D42" s="29">
        <f t="shared" si="3"/>
        <v>34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1.5</v>
      </c>
      <c r="M42" s="32">
        <f t="shared" si="1"/>
        <v>4426.9299699294997</v>
      </c>
      <c r="N42" s="32">
        <f t="shared" si="2"/>
        <v>4426.9299699294997</v>
      </c>
      <c r="O42" s="7">
        <v>100</v>
      </c>
      <c r="P42" s="32">
        <v>40</v>
      </c>
    </row>
    <row r="43" spans="1:16" ht="15" x14ac:dyDescent="0.15">
      <c r="A43" s="16" t="s">
        <v>364</v>
      </c>
      <c r="B43" s="16" t="s">
        <v>364</v>
      </c>
      <c r="C43" s="28">
        <v>40</v>
      </c>
      <c r="D43" s="29">
        <f t="shared" si="3"/>
        <v>34.5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1.5</v>
      </c>
      <c r="M43" s="32">
        <f t="shared" si="1"/>
        <v>5247.0970143664572</v>
      </c>
      <c r="N43" s="32">
        <f t="shared" si="2"/>
        <v>5247.0970143664572</v>
      </c>
      <c r="O43" s="7">
        <v>100</v>
      </c>
      <c r="P43" s="32">
        <v>40</v>
      </c>
    </row>
    <row r="44" spans="1:16" ht="15" x14ac:dyDescent="0.15">
      <c r="A44" s="16" t="s">
        <v>365</v>
      </c>
      <c r="B44" s="16" t="s">
        <v>365</v>
      </c>
      <c r="C44" s="28">
        <v>41</v>
      </c>
      <c r="D44" s="29">
        <f t="shared" si="3"/>
        <v>35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1.5</v>
      </c>
      <c r="M44" s="32">
        <f t="shared" si="1"/>
        <v>6218.9949620242523</v>
      </c>
      <c r="N44" s="32">
        <f t="shared" si="2"/>
        <v>6218.9949620242523</v>
      </c>
      <c r="O44" s="7">
        <v>100</v>
      </c>
      <c r="P44" s="32">
        <v>40</v>
      </c>
    </row>
    <row r="45" spans="1:16" ht="15" x14ac:dyDescent="0.15">
      <c r="A45" s="16" t="s">
        <v>366</v>
      </c>
      <c r="B45" s="16" t="s">
        <v>366</v>
      </c>
      <c r="C45" s="28">
        <v>42</v>
      </c>
      <c r="D45" s="29">
        <f t="shared" si="3"/>
        <v>35.5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1.5</v>
      </c>
      <c r="M45" s="32">
        <f t="shared" si="1"/>
        <v>7370.69402999874</v>
      </c>
      <c r="N45" s="32">
        <f t="shared" si="2"/>
        <v>7370.69402999874</v>
      </c>
      <c r="O45" s="7">
        <v>100</v>
      </c>
      <c r="P45" s="32">
        <v>40</v>
      </c>
    </row>
    <row r="46" spans="1:16" ht="15" x14ac:dyDescent="0.15">
      <c r="A46" s="16" t="s">
        <v>367</v>
      </c>
      <c r="B46" s="16" t="s">
        <v>367</v>
      </c>
      <c r="C46" s="28">
        <v>43</v>
      </c>
      <c r="D46" s="29">
        <f t="shared" si="3"/>
        <v>36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1.5</v>
      </c>
      <c r="M46" s="32">
        <f t="shared" si="1"/>
        <v>8735.4574255485059</v>
      </c>
      <c r="N46" s="32">
        <f t="shared" si="2"/>
        <v>8735.4574255485059</v>
      </c>
      <c r="O46" s="7">
        <v>100</v>
      </c>
      <c r="P46" s="32">
        <v>40</v>
      </c>
    </row>
    <row r="47" spans="1:16" ht="15" x14ac:dyDescent="0.15">
      <c r="A47" s="16" t="s">
        <v>368</v>
      </c>
      <c r="B47" s="16" t="s">
        <v>368</v>
      </c>
      <c r="C47" s="28">
        <v>44</v>
      </c>
      <c r="D47" s="29">
        <f t="shared" si="3"/>
        <v>36.5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1.5</v>
      </c>
      <c r="M47" s="32">
        <f t="shared" si="1"/>
        <v>10352.70204927498</v>
      </c>
      <c r="N47" s="32">
        <f t="shared" si="2"/>
        <v>10352.70204927498</v>
      </c>
      <c r="O47" s="7">
        <v>100</v>
      </c>
      <c r="P47" s="32">
        <v>40</v>
      </c>
    </row>
    <row r="48" spans="1:16" ht="15" x14ac:dyDescent="0.15">
      <c r="A48" s="16" t="s">
        <v>369</v>
      </c>
      <c r="B48" s="16" t="s">
        <v>369</v>
      </c>
      <c r="C48" s="28">
        <v>45</v>
      </c>
      <c r="D48" s="29">
        <f t="shared" si="3"/>
        <v>37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1.5</v>
      </c>
      <c r="M48" s="32">
        <f t="shared" si="1"/>
        <v>12269.136928390852</v>
      </c>
      <c r="N48" s="32">
        <f t="shared" si="2"/>
        <v>12269.136928390852</v>
      </c>
      <c r="O48" s="7">
        <v>100</v>
      </c>
      <c r="P48" s="32">
        <v>40</v>
      </c>
    </row>
    <row r="49" spans="1:16" ht="15" x14ac:dyDescent="0.15">
      <c r="A49" s="16" t="s">
        <v>370</v>
      </c>
      <c r="B49" s="16" t="s">
        <v>370</v>
      </c>
      <c r="C49" s="28">
        <v>46</v>
      </c>
      <c r="D49" s="29">
        <f t="shared" si="3"/>
        <v>37.5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1.5</v>
      </c>
      <c r="M49" s="32">
        <f t="shared" si="1"/>
        <v>14540.112260143158</v>
      </c>
      <c r="N49" s="32">
        <f t="shared" si="2"/>
        <v>14540.112260143158</v>
      </c>
      <c r="O49" s="7">
        <v>100</v>
      </c>
      <c r="P49" s="32">
        <v>50</v>
      </c>
    </row>
    <row r="50" spans="1:16" ht="15" x14ac:dyDescent="0.15">
      <c r="A50" s="16" t="s">
        <v>371</v>
      </c>
      <c r="B50" s="16" t="s">
        <v>371</v>
      </c>
      <c r="C50" s="28">
        <v>47</v>
      </c>
      <c r="D50" s="29">
        <f t="shared" si="3"/>
        <v>38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1.5</v>
      </c>
      <c r="M50" s="32">
        <f t="shared" si="1"/>
        <v>17231.218028269643</v>
      </c>
      <c r="N50" s="32">
        <f t="shared" si="2"/>
        <v>17231.218028269643</v>
      </c>
      <c r="O50" s="7">
        <v>100</v>
      </c>
      <c r="P50" s="32">
        <v>50</v>
      </c>
    </row>
    <row r="51" spans="1:16" ht="15" x14ac:dyDescent="0.15">
      <c r="A51" s="16" t="s">
        <v>372</v>
      </c>
      <c r="B51" s="16" t="s">
        <v>372</v>
      </c>
      <c r="C51" s="28">
        <v>48</v>
      </c>
      <c r="D51" s="29">
        <f t="shared" si="3"/>
        <v>38.5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1.5</v>
      </c>
      <c r="M51" s="32">
        <f t="shared" si="1"/>
        <v>20420.178363499526</v>
      </c>
      <c r="N51" s="32">
        <f t="shared" si="2"/>
        <v>20420.178363499526</v>
      </c>
      <c r="O51" s="7">
        <v>100</v>
      </c>
      <c r="P51" s="32">
        <v>50</v>
      </c>
    </row>
    <row r="52" spans="1:16" ht="15" x14ac:dyDescent="0.15">
      <c r="A52" s="16" t="s">
        <v>373</v>
      </c>
      <c r="B52" s="16" t="s">
        <v>373</v>
      </c>
      <c r="C52" s="28">
        <v>49</v>
      </c>
      <c r="D52" s="29">
        <f t="shared" si="3"/>
        <v>39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1.5</v>
      </c>
      <c r="M52" s="32">
        <f t="shared" si="1"/>
        <v>24199.096360746938</v>
      </c>
      <c r="N52" s="32">
        <f t="shared" si="2"/>
        <v>24199.096360746938</v>
      </c>
      <c r="O52" s="7">
        <v>100</v>
      </c>
      <c r="P52" s="32">
        <v>50</v>
      </c>
    </row>
    <row r="53" spans="1:16" ht="15" x14ac:dyDescent="0.15">
      <c r="A53" s="16" t="s">
        <v>374</v>
      </c>
      <c r="B53" s="16" t="s">
        <v>374</v>
      </c>
      <c r="C53" s="28">
        <v>50</v>
      </c>
      <c r="D53" s="29">
        <f t="shared" si="3"/>
        <v>39.5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1.5</v>
      </c>
      <c r="M53" s="32">
        <f t="shared" si="1"/>
        <v>28677.114187485124</v>
      </c>
      <c r="N53" s="32">
        <f t="shared" si="2"/>
        <v>28677.114187485124</v>
      </c>
      <c r="O53" s="7">
        <v>100</v>
      </c>
      <c r="P53" s="32">
        <v>50</v>
      </c>
    </row>
    <row r="54" spans="1:16" ht="15" x14ac:dyDescent="0.15">
      <c r="A54" s="16" t="s">
        <v>375</v>
      </c>
      <c r="B54" s="16" t="s">
        <v>375</v>
      </c>
      <c r="C54" s="28">
        <v>51</v>
      </c>
      <c r="D54" s="29">
        <f t="shared" si="3"/>
        <v>40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1.5</v>
      </c>
      <c r="M54" s="32">
        <f t="shared" si="1"/>
        <v>33983.565312169878</v>
      </c>
      <c r="N54" s="32">
        <f t="shared" si="2"/>
        <v>33983.565312169878</v>
      </c>
      <c r="O54" s="7">
        <v>100</v>
      </c>
      <c r="P54" s="32">
        <v>50</v>
      </c>
    </row>
    <row r="55" spans="1:16" ht="15" x14ac:dyDescent="0.15">
      <c r="A55" s="16" t="s">
        <v>376</v>
      </c>
      <c r="B55" s="16" t="s">
        <v>376</v>
      </c>
      <c r="C55" s="28">
        <v>52</v>
      </c>
      <c r="D55" s="29">
        <f t="shared" si="3"/>
        <v>40.5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1.5</v>
      </c>
      <c r="M55" s="32">
        <f t="shared" si="1"/>
        <v>40271.709894921303</v>
      </c>
      <c r="N55" s="32">
        <f t="shared" si="2"/>
        <v>40271.709894921303</v>
      </c>
      <c r="O55" s="7">
        <v>100</v>
      </c>
      <c r="P55" s="32">
        <v>50</v>
      </c>
    </row>
    <row r="56" spans="1:16" ht="15" x14ac:dyDescent="0.15">
      <c r="A56" s="16" t="s">
        <v>377</v>
      </c>
      <c r="B56" s="16" t="s">
        <v>377</v>
      </c>
      <c r="C56" s="28">
        <v>53</v>
      </c>
      <c r="D56" s="29">
        <f t="shared" si="3"/>
        <v>41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1.5</v>
      </c>
      <c r="M56" s="32">
        <f t="shared" si="1"/>
        <v>47723.161225481752</v>
      </c>
      <c r="N56" s="32">
        <f t="shared" si="2"/>
        <v>47723.161225481752</v>
      </c>
      <c r="O56" s="7">
        <v>100</v>
      </c>
      <c r="P56" s="32">
        <v>50</v>
      </c>
    </row>
    <row r="57" spans="1:16" ht="15" x14ac:dyDescent="0.15">
      <c r="A57" s="16" t="s">
        <v>378</v>
      </c>
      <c r="B57" s="16" t="s">
        <v>378</v>
      </c>
      <c r="C57" s="28">
        <v>54</v>
      </c>
      <c r="D57" s="29">
        <f t="shared" si="3"/>
        <v>41.5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1.5</v>
      </c>
      <c r="M57" s="32">
        <f t="shared" si="1"/>
        <v>56553.13105219588</v>
      </c>
      <c r="N57" s="32">
        <f t="shared" si="2"/>
        <v>56553.13105219588</v>
      </c>
      <c r="O57" s="7">
        <v>100</v>
      </c>
      <c r="P57" s="32">
        <v>50</v>
      </c>
    </row>
    <row r="58" spans="1:16" ht="15" x14ac:dyDescent="0.15">
      <c r="A58" s="16" t="s">
        <v>379</v>
      </c>
      <c r="B58" s="16" t="s">
        <v>379</v>
      </c>
      <c r="C58" s="28">
        <v>55</v>
      </c>
      <c r="D58" s="29">
        <f t="shared" si="3"/>
        <v>42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1.5</v>
      </c>
      <c r="M58" s="32">
        <f t="shared" si="1"/>
        <v>67016.645296852119</v>
      </c>
      <c r="N58" s="32">
        <f t="shared" si="2"/>
        <v>67016.645296852119</v>
      </c>
      <c r="O58" s="7">
        <v>100</v>
      </c>
      <c r="P58" s="32">
        <v>50</v>
      </c>
    </row>
    <row r="59" spans="1:16" ht="15" x14ac:dyDescent="0.15">
      <c r="A59" s="16" t="s">
        <v>380</v>
      </c>
      <c r="B59" s="16" t="s">
        <v>380</v>
      </c>
      <c r="C59" s="28">
        <v>56</v>
      </c>
      <c r="D59" s="29">
        <f t="shared" si="3"/>
        <v>42.5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1.5</v>
      </c>
      <c r="M59" s="32">
        <f t="shared" si="1"/>
        <v>79415.909676769763</v>
      </c>
      <c r="N59" s="32">
        <f t="shared" si="2"/>
        <v>79415.909676769763</v>
      </c>
      <c r="O59" s="7">
        <v>100</v>
      </c>
      <c r="P59" s="32">
        <v>60</v>
      </c>
    </row>
    <row r="60" spans="1:16" ht="15" x14ac:dyDescent="0.15">
      <c r="A60" s="16" t="s">
        <v>381</v>
      </c>
      <c r="B60" s="16" t="s">
        <v>381</v>
      </c>
      <c r="C60" s="28">
        <v>57</v>
      </c>
      <c r="D60" s="29">
        <f t="shared" si="3"/>
        <v>43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1.5</v>
      </c>
      <c r="M60" s="32">
        <f t="shared" si="1"/>
        <v>94109.037966972159</v>
      </c>
      <c r="N60" s="32">
        <f t="shared" si="2"/>
        <v>94109.037966972159</v>
      </c>
      <c r="O60" s="7">
        <v>100</v>
      </c>
      <c r="P60" s="32">
        <v>60</v>
      </c>
    </row>
    <row r="61" spans="1:16" ht="15" x14ac:dyDescent="0.15">
      <c r="A61" s="16" t="s">
        <v>382</v>
      </c>
      <c r="B61" s="16" t="s">
        <v>382</v>
      </c>
      <c r="C61" s="28">
        <v>58</v>
      </c>
      <c r="D61" s="29">
        <f t="shared" si="3"/>
        <v>43.5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1.5</v>
      </c>
      <c r="M61" s="32">
        <f t="shared" si="1"/>
        <v>111520.39499086201</v>
      </c>
      <c r="N61" s="32">
        <f t="shared" si="2"/>
        <v>111520.39499086201</v>
      </c>
      <c r="O61" s="7">
        <v>100</v>
      </c>
      <c r="P61" s="32">
        <v>60</v>
      </c>
    </row>
    <row r="62" spans="1:16" ht="15" x14ac:dyDescent="0.15">
      <c r="A62" s="16" t="s">
        <v>383</v>
      </c>
      <c r="B62" s="16" t="s">
        <v>383</v>
      </c>
      <c r="C62" s="28">
        <v>59</v>
      </c>
      <c r="D62" s="29">
        <f t="shared" si="3"/>
        <v>44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1.5</v>
      </c>
      <c r="M62" s="32">
        <f t="shared" si="1"/>
        <v>132152.85306417148</v>
      </c>
      <c r="N62" s="32">
        <f t="shared" si="2"/>
        <v>132152.85306417148</v>
      </c>
      <c r="O62" s="7">
        <v>100</v>
      </c>
      <c r="P62" s="32">
        <v>60</v>
      </c>
    </row>
    <row r="63" spans="1:16" ht="15" x14ac:dyDescent="0.15">
      <c r="A63" s="16" t="s">
        <v>384</v>
      </c>
      <c r="B63" s="16" t="s">
        <v>384</v>
      </c>
      <c r="C63" s="28">
        <v>60</v>
      </c>
      <c r="D63" s="29">
        <f t="shared" si="3"/>
        <v>44.5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1.5</v>
      </c>
      <c r="M63" s="32">
        <f t="shared" si="1"/>
        <v>156602.31588104324</v>
      </c>
      <c r="N63" s="32">
        <f t="shared" si="2"/>
        <v>156602.31588104324</v>
      </c>
      <c r="O63" s="7">
        <v>100</v>
      </c>
      <c r="P63" s="32">
        <v>60</v>
      </c>
    </row>
    <row r="64" spans="1:16" ht="15" x14ac:dyDescent="0.15">
      <c r="A64" s="23" t="s">
        <v>468</v>
      </c>
      <c r="B64" s="23" t="s">
        <v>468</v>
      </c>
      <c r="C64" s="30">
        <v>10</v>
      </c>
      <c r="D64" s="29">
        <f>D13*40</f>
        <v>780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1.25</v>
      </c>
      <c r="M64" s="32">
        <f t="shared" si="1"/>
        <v>194.03989365936999</v>
      </c>
      <c r="N64" s="32">
        <f t="shared" si="2"/>
        <v>194.03989365936999</v>
      </c>
      <c r="O64" s="7">
        <v>100</v>
      </c>
      <c r="P64" s="22">
        <v>20</v>
      </c>
    </row>
    <row r="65" spans="1:16" ht="15" x14ac:dyDescent="0.15">
      <c r="A65" s="23" t="s">
        <v>469</v>
      </c>
      <c r="B65" s="23" t="s">
        <v>469</v>
      </c>
      <c r="C65" s="30">
        <v>20</v>
      </c>
      <c r="D65" s="29">
        <f>D23*40</f>
        <v>980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1.25</v>
      </c>
      <c r="M65" s="32">
        <f t="shared" si="1"/>
        <v>1273.6908155345022</v>
      </c>
      <c r="N65" s="32">
        <f t="shared" si="2"/>
        <v>1273.6908155345022</v>
      </c>
      <c r="O65" s="7">
        <v>100</v>
      </c>
      <c r="P65" s="22">
        <v>40</v>
      </c>
    </row>
    <row r="66" spans="1:16" ht="15" x14ac:dyDescent="0.15">
      <c r="A66" s="23" t="s">
        <v>470</v>
      </c>
      <c r="B66" s="23" t="s">
        <v>470</v>
      </c>
      <c r="C66" s="30">
        <v>30</v>
      </c>
      <c r="D66" s="29">
        <f>D33*40</f>
        <v>1180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1.25</v>
      </c>
      <c r="M66" s="32">
        <f t="shared" si="1"/>
        <v>7168.4607988007319</v>
      </c>
      <c r="N66" s="32">
        <f t="shared" si="2"/>
        <v>7168.4607988007319</v>
      </c>
      <c r="O66" s="7">
        <v>100</v>
      </c>
      <c r="P66" s="22">
        <v>60</v>
      </c>
    </row>
    <row r="67" spans="1:16" ht="15" x14ac:dyDescent="0.15">
      <c r="A67" s="23" t="s">
        <v>471</v>
      </c>
      <c r="B67" s="23" t="s">
        <v>471</v>
      </c>
      <c r="C67" s="30">
        <v>40</v>
      </c>
      <c r="D67" s="29">
        <f t="shared" ref="D67:D69" si="12">D66+267</f>
        <v>1447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1.25</v>
      </c>
      <c r="M67" s="32">
        <f t="shared" si="1"/>
        <v>39353.227607748428</v>
      </c>
      <c r="N67" s="32">
        <f t="shared" si="2"/>
        <v>39353.227607748428</v>
      </c>
      <c r="O67" s="7">
        <v>100</v>
      </c>
      <c r="P67" s="22">
        <v>80</v>
      </c>
    </row>
    <row r="68" spans="1:16" ht="15" x14ac:dyDescent="0.15">
      <c r="A68" s="23" t="s">
        <v>472</v>
      </c>
      <c r="B68" s="23" t="s">
        <v>472</v>
      </c>
      <c r="C68" s="30">
        <v>50</v>
      </c>
      <c r="D68" s="29">
        <f t="shared" si="12"/>
        <v>1714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1.25</v>
      </c>
      <c r="M68" s="32">
        <f t="shared" si="1"/>
        <v>215078.35640613842</v>
      </c>
      <c r="N68" s="32">
        <f t="shared" si="2"/>
        <v>215078.35640613842</v>
      </c>
      <c r="O68" s="7">
        <v>100</v>
      </c>
      <c r="P68" s="22">
        <v>100</v>
      </c>
    </row>
    <row r="69" spans="1:16" ht="15" x14ac:dyDescent="0.15">
      <c r="A69" s="23" t="s">
        <v>473</v>
      </c>
      <c r="B69" s="23" t="s">
        <v>473</v>
      </c>
      <c r="C69" s="30">
        <v>60</v>
      </c>
      <c r="D69" s="29">
        <f t="shared" si="12"/>
        <v>1981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1.25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100</v>
      </c>
      <c r="P69" s="22">
        <v>120</v>
      </c>
    </row>
    <row r="70" spans="1:16" x14ac:dyDescent="0.15">
      <c r="A70" s="24" t="s">
        <v>474</v>
      </c>
      <c r="B70" s="24" t="s">
        <v>474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22">
        <v>100</v>
      </c>
      <c r="P70" s="22">
        <v>10</v>
      </c>
    </row>
    <row r="71" spans="1:16" x14ac:dyDescent="0.15">
      <c r="A71" s="24" t="s">
        <v>475</v>
      </c>
      <c r="B71" s="24" t="s">
        <v>475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22">
        <v>100</v>
      </c>
      <c r="P71" s="22">
        <v>20</v>
      </c>
    </row>
    <row r="72" spans="1:16" x14ac:dyDescent="0.15">
      <c r="A72" s="24" t="s">
        <v>476</v>
      </c>
      <c r="B72" s="24" t="s">
        <v>476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22">
        <v>100</v>
      </c>
      <c r="P72" s="22">
        <v>30</v>
      </c>
    </row>
    <row r="73" spans="1:16" x14ac:dyDescent="0.15">
      <c r="A73" s="24" t="s">
        <v>477</v>
      </c>
      <c r="B73" s="24" t="s">
        <v>477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22">
        <v>100</v>
      </c>
      <c r="P73" s="22">
        <v>40</v>
      </c>
    </row>
    <row r="74" spans="1:16" x14ac:dyDescent="0.15">
      <c r="A74" s="24" t="s">
        <v>478</v>
      </c>
      <c r="B74" s="24" t="s">
        <v>478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22">
        <v>100</v>
      </c>
      <c r="P74" s="22">
        <v>50</v>
      </c>
    </row>
    <row r="75" spans="1:16" x14ac:dyDescent="0.15">
      <c r="A75" s="24" t="s">
        <v>479</v>
      </c>
      <c r="B75" s="24" t="s">
        <v>479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22">
        <v>100</v>
      </c>
      <c r="P75" s="22">
        <v>60</v>
      </c>
    </row>
    <row r="76" spans="1:16" ht="15" x14ac:dyDescent="0.15">
      <c r="A76" s="23" t="s">
        <v>466</v>
      </c>
      <c r="B76" s="23" t="s">
        <v>466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100</v>
      </c>
      <c r="P76" s="32">
        <v>180</v>
      </c>
    </row>
    <row r="77" spans="1:16" x14ac:dyDescent="0.15">
      <c r="A77" s="24" t="s">
        <v>515</v>
      </c>
      <c r="B77" s="24" t="s">
        <v>515</v>
      </c>
      <c r="C77" s="30">
        <v>0</v>
      </c>
      <c r="D77" s="29">
        <f t="shared" ref="D77" si="21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25">
        <v>1.25</v>
      </c>
      <c r="M77" s="32">
        <f t="shared" si="19"/>
        <v>1115791.5006524331</v>
      </c>
      <c r="N77" s="32">
        <f t="shared" si="20"/>
        <v>1115791.5006524331</v>
      </c>
      <c r="O77" s="7">
        <v>100</v>
      </c>
      <c r="P77" s="22">
        <v>120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2019-04-11T06:18:50Z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