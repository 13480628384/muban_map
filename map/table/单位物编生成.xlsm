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8C7E5634-8F0C-4509-9423-3A56853B8D93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24" i="30" l="1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<sst xmlns="http://schemas.openxmlformats.org/spreadsheetml/2006/main" count="914" uniqueCount="564">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</sst>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tabSelected="1" workbookViewId="0">
      <pane xSplit="1" ySplit="3" topLeftCell="B89" activePane="bottomRight" state="frozen"/>
      <selection pane="topRight"/>
      <selection pane="bottomLeft"/>
      <selection pane="bottomRight" activeCell="F115" sqref="F1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5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1"/>
  <sheetViews>
    <sheetView topLeftCell="A82" workbookViewId="0">
      <selection activeCell="A101" sqref="A101:A110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20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20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20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20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20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20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20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20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20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20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20</v>
      </c>
      <c r="F111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4"/>
  <sheetViews>
    <sheetView topLeftCell="A94" workbookViewId="0">
      <selection activeCell="B112" sqref="B112:H113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2.5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f>E4*1.005+7</f>
        <v>47.199999999999996</v>
      </c>
      <c r="F5" s="17">
        <v>2.5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f t="shared" ref="E6:E69" si="5">E5*1.005+7</f>
        <v>54.435999999999993</v>
      </c>
      <c r="F6" s="17">
        <v>2.5</v>
      </c>
      <c r="G6" s="18">
        <f t="shared" ref="G6:G69" si="6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f t="shared" si="5"/>
        <v>61.708179999999984</v>
      </c>
      <c r="F7" s="17">
        <v>2.5</v>
      </c>
      <c r="G7" s="18">
        <f t="shared" si="6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f t="shared" si="5"/>
        <v>69.016720899999967</v>
      </c>
      <c r="F8" s="17">
        <v>2.5</v>
      </c>
      <c r="G8" s="18">
        <f t="shared" si="6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f t="shared" si="5"/>
        <v>76.361804504499958</v>
      </c>
      <c r="F9" s="17">
        <v>2.5</v>
      </c>
      <c r="G9" s="18">
        <f t="shared" si="6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f t="shared" si="5"/>
        <v>83.743613527022447</v>
      </c>
      <c r="F10" s="17">
        <v>2.5</v>
      </c>
      <c r="G10" s="18">
        <f t="shared" si="6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f t="shared" si="5"/>
        <v>91.162331594657545</v>
      </c>
      <c r="F11" s="17">
        <v>2.5</v>
      </c>
      <c r="G11" s="18">
        <f t="shared" si="6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f t="shared" si="5"/>
        <v>98.618143252630816</v>
      </c>
      <c r="F12" s="17">
        <v>2.5</v>
      </c>
      <c r="G12" s="18">
        <f t="shared" si="6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f t="shared" si="5"/>
        <v>106.11123396889396</v>
      </c>
      <c r="F13" s="17">
        <v>2.5</v>
      </c>
      <c r="G13" s="18">
        <f t="shared" si="6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f t="shared" si="5"/>
        <v>113.64179013873841</v>
      </c>
      <c r="F14" s="17">
        <v>2.5</v>
      </c>
      <c r="G14" s="18">
        <f t="shared" si="6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f t="shared" si="5"/>
        <v>121.20999908943209</v>
      </c>
      <c r="F15" s="17">
        <v>2.5</v>
      </c>
      <c r="G15" s="18">
        <f t="shared" si="6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f t="shared" si="5"/>
        <v>128.81604908487924</v>
      </c>
      <c r="F16" s="17">
        <v>2.5</v>
      </c>
      <c r="G16" s="18">
        <f t="shared" si="6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f t="shared" si="5"/>
        <v>136.46012933030363</v>
      </c>
      <c r="F17" s="17">
        <v>2.5</v>
      </c>
      <c r="G17" s="18">
        <f t="shared" si="6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f t="shared" si="5"/>
        <v>144.14242997695513</v>
      </c>
      <c r="F18" s="17">
        <v>2.5</v>
      </c>
      <c r="G18" s="18">
        <f t="shared" si="6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f t="shared" si="5"/>
        <v>151.86314212683988</v>
      </c>
      <c r="F19" s="17">
        <v>2.5</v>
      </c>
      <c r="G19" s="18">
        <f t="shared" si="6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f t="shared" si="5"/>
        <v>159.62245783747406</v>
      </c>
      <c r="F20" s="17">
        <v>2.5</v>
      </c>
      <c r="G20" s="18">
        <f t="shared" si="6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f t="shared" si="5"/>
        <v>167.4205701266614</v>
      </c>
      <c r="F21" s="17">
        <v>2.5</v>
      </c>
      <c r="G21" s="18">
        <f t="shared" si="6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f t="shared" si="5"/>
        <v>175.2576729772947</v>
      </c>
      <c r="F22" s="17">
        <v>2.5</v>
      </c>
      <c r="G22" s="18">
        <f t="shared" si="6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f t="shared" si="5"/>
        <v>183.13396134218115</v>
      </c>
      <c r="F23" s="17">
        <v>2.5</v>
      </c>
      <c r="G23" s="18">
        <f t="shared" si="6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f t="shared" si="5"/>
        <v>191.04963114889205</v>
      </c>
      <c r="F24" s="17">
        <v>2.5</v>
      </c>
      <c r="G24" s="18">
        <f t="shared" si="6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f t="shared" si="5"/>
        <v>199.00487930463649</v>
      </c>
      <c r="F25" s="17">
        <v>2.5</v>
      </c>
      <c r="G25" s="18">
        <f t="shared" si="6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f t="shared" si="5"/>
        <v>206.99990370115964</v>
      </c>
      <c r="F26" s="17">
        <v>2.5</v>
      </c>
      <c r="G26" s="18">
        <f t="shared" si="6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f t="shared" si="5"/>
        <v>215.03490321966541</v>
      </c>
      <c r="F27" s="17">
        <v>2.5</v>
      </c>
      <c r="G27" s="18">
        <f t="shared" si="6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f t="shared" si="5"/>
        <v>223.11007773576372</v>
      </c>
      <c r="F28" s="17">
        <v>2.5</v>
      </c>
      <c r="G28" s="18">
        <f t="shared" si="6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f t="shared" si="5"/>
        <v>231.22562812444252</v>
      </c>
      <c r="F29" s="17">
        <v>2.5</v>
      </c>
      <c r="G29" s="18">
        <f t="shared" si="6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f t="shared" si="5"/>
        <v>239.38175626506472</v>
      </c>
      <c r="F30" s="17">
        <v>2.5</v>
      </c>
      <c r="G30" s="18">
        <f t="shared" si="6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f t="shared" si="5"/>
        <v>247.57866504639003</v>
      </c>
      <c r="F31" s="17">
        <v>2.5</v>
      </c>
      <c r="G31" s="18">
        <f t="shared" si="6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f t="shared" si="5"/>
        <v>255.81655837162197</v>
      </c>
      <c r="F32" s="17">
        <v>2.5</v>
      </c>
      <c r="G32" s="18">
        <f t="shared" si="6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f t="shared" si="5"/>
        <v>264.09564116348002</v>
      </c>
      <c r="F33" s="17">
        <v>2.5</v>
      </c>
      <c r="G33" s="18">
        <f t="shared" si="6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f t="shared" si="5"/>
        <v>272.41611936929741</v>
      </c>
      <c r="F34" s="17">
        <v>2.5</v>
      </c>
      <c r="G34" s="18">
        <f t="shared" si="6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f t="shared" si="5"/>
        <v>280.77819996614386</v>
      </c>
      <c r="F35" s="17">
        <v>2.5</v>
      </c>
      <c r="G35" s="18">
        <f t="shared" si="6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f t="shared" si="5"/>
        <v>289.18209096597457</v>
      </c>
      <c r="F36" s="17">
        <v>2.5</v>
      </c>
      <c r="G36" s="18">
        <f t="shared" si="6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f t="shared" si="5"/>
        <v>297.62800142080442</v>
      </c>
      <c r="F37" s="17">
        <v>2.5</v>
      </c>
      <c r="G37" s="18">
        <f t="shared" si="6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7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f t="shared" si="5"/>
        <v>306.11614142790842</v>
      </c>
      <c r="F38" s="17">
        <v>2.5</v>
      </c>
      <c r="G38" s="18">
        <f t="shared" si="6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7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f t="shared" si="5"/>
        <v>314.64672213504792</v>
      </c>
      <c r="F39" s="17">
        <v>2.5</v>
      </c>
      <c r="G39" s="18">
        <f t="shared" si="6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7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f t="shared" si="5"/>
        <v>323.21995574572315</v>
      </c>
      <c r="F40" s="17">
        <v>2.5</v>
      </c>
      <c r="G40" s="18">
        <f t="shared" si="6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7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f t="shared" si="5"/>
        <v>331.83605552445175</v>
      </c>
      <c r="F41" s="17">
        <v>2.5</v>
      </c>
      <c r="G41" s="18">
        <f t="shared" si="6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7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f t="shared" si="5"/>
        <v>340.49523580207398</v>
      </c>
      <c r="F42" s="17">
        <v>2.5</v>
      </c>
      <c r="G42" s="18">
        <f t="shared" si="6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7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f t="shared" si="5"/>
        <v>349.1977119810843</v>
      </c>
      <c r="F43" s="17">
        <v>2.5</v>
      </c>
      <c r="G43" s="18">
        <f t="shared" si="6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7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f t="shared" si="5"/>
        <v>357.94370054098965</v>
      </c>
      <c r="F44" s="17">
        <v>2.5</v>
      </c>
      <c r="G44" s="18">
        <f t="shared" si="6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7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f t="shared" si="5"/>
        <v>366.73341904369454</v>
      </c>
      <c r="F45" s="17">
        <v>2.5</v>
      </c>
      <c r="G45" s="18">
        <f t="shared" si="6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7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f t="shared" si="5"/>
        <v>375.567086138913</v>
      </c>
      <c r="F46" s="17">
        <v>2.5</v>
      </c>
      <c r="G46" s="18">
        <f t="shared" si="6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7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f t="shared" si="5"/>
        <v>384.44492156960752</v>
      </c>
      <c r="F47" s="17">
        <v>2.5</v>
      </c>
      <c r="G47" s="18">
        <f t="shared" si="6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7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f t="shared" si="5"/>
        <v>393.36714617745554</v>
      </c>
      <c r="F48" s="17">
        <v>2.5</v>
      </c>
      <c r="G48" s="18">
        <f t="shared" si="6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7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f t="shared" si="5"/>
        <v>402.33398190834276</v>
      </c>
      <c r="F49" s="17">
        <v>2.5</v>
      </c>
      <c r="G49" s="18">
        <f t="shared" si="6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7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f t="shared" si="5"/>
        <v>411.34565181788446</v>
      </c>
      <c r="F50" s="17">
        <v>2.5</v>
      </c>
      <c r="G50" s="18">
        <f t="shared" si="6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7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f t="shared" si="5"/>
        <v>420.40238007697383</v>
      </c>
      <c r="F51" s="17">
        <v>2.5</v>
      </c>
      <c r="G51" s="18">
        <f t="shared" si="6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7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f t="shared" si="5"/>
        <v>429.50439197735864</v>
      </c>
      <c r="F52" s="17">
        <v>2.5</v>
      </c>
      <c r="G52" s="18">
        <f t="shared" si="6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7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f t="shared" si="5"/>
        <v>438.65191393724541</v>
      </c>
      <c r="F53" s="17">
        <v>2.5</v>
      </c>
      <c r="G53" s="18">
        <f t="shared" si="6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7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f t="shared" si="5"/>
        <v>447.84517350693159</v>
      </c>
      <c r="F54" s="17">
        <v>2.5</v>
      </c>
      <c r="G54" s="18">
        <f t="shared" si="6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7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f t="shared" si="5"/>
        <v>457.08439937446622</v>
      </c>
      <c r="F55" s="17">
        <v>2.5</v>
      </c>
      <c r="G55" s="18">
        <f t="shared" si="6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7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f t="shared" si="5"/>
        <v>466.3698213713385</v>
      </c>
      <c r="F56" s="17">
        <v>2.5</v>
      </c>
      <c r="G56" s="18">
        <f t="shared" si="6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7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f t="shared" si="5"/>
        <v>475.70167047819513</v>
      </c>
      <c r="F57" s="17">
        <v>2.5</v>
      </c>
      <c r="G57" s="18">
        <f t="shared" si="6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7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f t="shared" si="5"/>
        <v>485.08017883058608</v>
      </c>
      <c r="F58" s="17">
        <v>2.5</v>
      </c>
      <c r="G58" s="18">
        <f t="shared" si="6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7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f t="shared" si="5"/>
        <v>494.50557972473894</v>
      </c>
      <c r="F59" s="17">
        <v>2.5</v>
      </c>
      <c r="G59" s="18">
        <f t="shared" si="6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7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f t="shared" si="5"/>
        <v>503.97810762336258</v>
      </c>
      <c r="F60" s="17">
        <v>2.5</v>
      </c>
      <c r="G60" s="18">
        <f t="shared" si="6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7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f t="shared" si="5"/>
        <v>513.49799816147936</v>
      </c>
      <c r="F61" s="17">
        <v>2.5</v>
      </c>
      <c r="G61" s="18">
        <f t="shared" si="6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7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f t="shared" si="5"/>
        <v>523.06548815228666</v>
      </c>
      <c r="F62" s="17">
        <v>2.5</v>
      </c>
      <c r="G62" s="18">
        <f t="shared" si="6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7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f t="shared" si="5"/>
        <v>532.68081559304801</v>
      </c>
      <c r="F63" s="17">
        <v>2.5</v>
      </c>
      <c r="G63" s="18">
        <f t="shared" si="6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7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f t="shared" si="5"/>
        <v>542.34421967101321</v>
      </c>
      <c r="F64" s="17">
        <v>2.5</v>
      </c>
      <c r="G64" s="18">
        <f t="shared" si="6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7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f t="shared" si="5"/>
        <v>552.05594076936825</v>
      </c>
      <c r="F65" s="17">
        <v>2.5</v>
      </c>
      <c r="G65" s="18">
        <f t="shared" si="6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7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f t="shared" si="5"/>
        <v>561.81622047321503</v>
      </c>
      <c r="F66" s="17">
        <v>2.5</v>
      </c>
      <c r="G66" s="18">
        <f t="shared" si="6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7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f t="shared" si="5"/>
        <v>571.62530157558103</v>
      </c>
      <c r="F67" s="17">
        <v>2.5</v>
      </c>
      <c r="G67" s="18">
        <f t="shared" si="6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7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f t="shared" si="5"/>
        <v>581.48342808345888</v>
      </c>
      <c r="F68" s="17">
        <v>2.5</v>
      </c>
      <c r="G68" s="18">
        <f t="shared" si="6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7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f t="shared" si="5"/>
        <v>591.39084522387611</v>
      </c>
      <c r="F69" s="17">
        <v>2.5</v>
      </c>
      <c r="G69" s="18">
        <f t="shared" si="6"/>
        <v>64117.565014018568</v>
      </c>
      <c r="H69" s="18">
        <f t="shared" ref="H69:H103" si="8">(H68+1)*1.05</f>
        <v>479.63791174276423</v>
      </c>
      <c r="I69" s="18">
        <f t="shared" ref="I69:I103" si="9">(I68+200)*1.1</f>
        <v>1135460.0826910166</v>
      </c>
      <c r="J69" s="16">
        <f t="shared" ref="J69:J103" si="10">I69/2</f>
        <v>567730.0413455083</v>
      </c>
      <c r="K69" s="16">
        <v>325</v>
      </c>
      <c r="L69" s="16">
        <v>1.5</v>
      </c>
      <c r="M69" s="16">
        <f t="shared" ref="M69:M103" si="11">I69*0.01*0.75</f>
        <v>8515.9506201826243</v>
      </c>
      <c r="N69" s="16">
        <f t="shared" ref="N69:N103" si="12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f t="shared" ref="E70:E103" si="13">E69*1.005+7</f>
        <v>601.34779944999548</v>
      </c>
      <c r="F70" s="17">
        <v>2.5</v>
      </c>
      <c r="G70" s="18">
        <f t="shared" ref="G70:G103" si="14">(G69+11)*1.1</f>
        <v>70541.421515420428</v>
      </c>
      <c r="H70" s="18">
        <f t="shared" si="8"/>
        <v>504.66980732990248</v>
      </c>
      <c r="I70" s="18">
        <f t="shared" si="9"/>
        <v>1249226.0909601185</v>
      </c>
      <c r="J70" s="16">
        <f t="shared" si="10"/>
        <v>624613.04548005923</v>
      </c>
      <c r="K70" s="16">
        <v>325</v>
      </c>
      <c r="L70" s="16">
        <v>1.5</v>
      </c>
      <c r="M70" s="16">
        <f t="shared" si="11"/>
        <v>9369.1956822008888</v>
      </c>
      <c r="N70" s="16">
        <f t="shared" si="12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f t="shared" si="13"/>
        <v>611.35453844724543</v>
      </c>
      <c r="F71" s="17">
        <v>2.5</v>
      </c>
      <c r="G71" s="18">
        <f t="shared" si="14"/>
        <v>77607.663666962471</v>
      </c>
      <c r="H71" s="18">
        <f t="shared" si="8"/>
        <v>530.95329769639761</v>
      </c>
      <c r="I71" s="18">
        <f t="shared" si="9"/>
        <v>1374368.7000561303</v>
      </c>
      <c r="J71" s="16">
        <f t="shared" si="10"/>
        <v>687184.35002806515</v>
      </c>
      <c r="K71" s="16">
        <v>325</v>
      </c>
      <c r="L71" s="16">
        <v>1.5</v>
      </c>
      <c r="M71" s="16">
        <f t="shared" si="11"/>
        <v>10307.765250420978</v>
      </c>
      <c r="N71" s="16">
        <f t="shared" si="12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f t="shared" si="13"/>
        <v>621.41131113948154</v>
      </c>
      <c r="F72" s="17">
        <v>2.5</v>
      </c>
      <c r="G72" s="18">
        <f t="shared" si="14"/>
        <v>85380.530033658724</v>
      </c>
      <c r="H72" s="18">
        <f t="shared" si="8"/>
        <v>558.5509625812175</v>
      </c>
      <c r="I72" s="18">
        <f t="shared" si="9"/>
        <v>1512025.5700617435</v>
      </c>
      <c r="J72" s="16">
        <f t="shared" si="10"/>
        <v>756012.78503087175</v>
      </c>
      <c r="K72" s="16">
        <v>325</v>
      </c>
      <c r="L72" s="16">
        <v>1.5</v>
      </c>
      <c r="M72" s="16">
        <f t="shared" si="11"/>
        <v>11340.191775463078</v>
      </c>
      <c r="N72" s="16">
        <f t="shared" si="12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f t="shared" si="13"/>
        <v>631.51836769517888</v>
      </c>
      <c r="F73" s="17">
        <v>2.5</v>
      </c>
      <c r="G73" s="18">
        <f t="shared" si="14"/>
        <v>93930.683037024603</v>
      </c>
      <c r="H73" s="18">
        <f t="shared" si="8"/>
        <v>587.5285107102784</v>
      </c>
      <c r="I73" s="18">
        <f t="shared" si="9"/>
        <v>1663448.127067918</v>
      </c>
      <c r="J73" s="16">
        <f t="shared" si="10"/>
        <v>831724.06353395898</v>
      </c>
      <c r="K73" s="16">
        <v>325</v>
      </c>
      <c r="L73" s="16">
        <v>1.5</v>
      </c>
      <c r="M73" s="16">
        <f t="shared" si="11"/>
        <v>12475.860953009384</v>
      </c>
      <c r="N73" s="16">
        <f t="shared" si="12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f t="shared" si="13"/>
        <v>641.67595953365469</v>
      </c>
      <c r="F74" s="17">
        <v>2.5</v>
      </c>
      <c r="G74" s="18">
        <f t="shared" si="14"/>
        <v>103335.85134072707</v>
      </c>
      <c r="H74" s="18">
        <f t="shared" si="8"/>
        <v>617.9549362457924</v>
      </c>
      <c r="I74" s="18">
        <f t="shared" si="9"/>
        <v>1830012.93977471</v>
      </c>
      <c r="J74" s="16">
        <f t="shared" si="10"/>
        <v>915006.46988735499</v>
      </c>
      <c r="K74" s="16">
        <v>325</v>
      </c>
      <c r="L74" s="16">
        <v>1.5</v>
      </c>
      <c r="M74" s="16">
        <f t="shared" si="11"/>
        <v>13725.097048310325</v>
      </c>
      <c r="N74" s="16">
        <f t="shared" si="12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f t="shared" si="13"/>
        <v>651.88433933132285</v>
      </c>
      <c r="F75" s="17">
        <v>2.5</v>
      </c>
      <c r="G75" s="18">
        <f t="shared" si="14"/>
        <v>113681.53647479978</v>
      </c>
      <c r="H75" s="18">
        <f t="shared" si="8"/>
        <v>649.90268305808206</v>
      </c>
      <c r="I75" s="18">
        <f t="shared" si="9"/>
        <v>2013234.2337521811</v>
      </c>
      <c r="J75" s="16">
        <f t="shared" si="10"/>
        <v>1006617.1168760905</v>
      </c>
      <c r="K75" s="16">
        <v>325</v>
      </c>
      <c r="L75" s="16">
        <v>1.5</v>
      </c>
      <c r="M75" s="16">
        <f t="shared" si="11"/>
        <v>15099.256753141359</v>
      </c>
      <c r="N75" s="16">
        <f t="shared" si="12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f t="shared" si="13"/>
        <v>662.14376102797939</v>
      </c>
      <c r="F76" s="17">
        <v>2.5</v>
      </c>
      <c r="G76" s="18">
        <f t="shared" si="14"/>
        <v>125061.79012227977</v>
      </c>
      <c r="H76" s="18">
        <f t="shared" si="8"/>
        <v>683.44781721098616</v>
      </c>
      <c r="I76" s="18">
        <f t="shared" si="9"/>
        <v>2214777.6571273995</v>
      </c>
      <c r="J76" s="16">
        <f t="shared" si="10"/>
        <v>1107388.8285636997</v>
      </c>
      <c r="K76" s="16">
        <v>325</v>
      </c>
      <c r="L76" s="16">
        <v>1.5</v>
      </c>
      <c r="M76" s="16">
        <f t="shared" si="11"/>
        <v>16610.832428455498</v>
      </c>
      <c r="N76" s="16">
        <f t="shared" si="12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f t="shared" si="13"/>
        <v>672.45447983311919</v>
      </c>
      <c r="F77" s="17">
        <v>2.5</v>
      </c>
      <c r="G77" s="18">
        <f t="shared" si="14"/>
        <v>137580.06913450776</v>
      </c>
      <c r="H77" s="18">
        <f t="shared" si="8"/>
        <v>718.67020807153551</v>
      </c>
      <c r="I77" s="18">
        <f t="shared" si="9"/>
        <v>2436475.4228401398</v>
      </c>
      <c r="J77" s="16">
        <f t="shared" si="10"/>
        <v>1218237.7114200699</v>
      </c>
      <c r="K77" s="16">
        <v>325</v>
      </c>
      <c r="L77" s="16">
        <v>1.5</v>
      </c>
      <c r="M77" s="16">
        <f t="shared" si="11"/>
        <v>18273.565671301047</v>
      </c>
      <c r="N77" s="16">
        <f t="shared" si="12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f t="shared" si="13"/>
        <v>682.81675223228467</v>
      </c>
      <c r="F78" s="17">
        <v>2.5</v>
      </c>
      <c r="G78" s="18">
        <f t="shared" si="14"/>
        <v>151350.17604795855</v>
      </c>
      <c r="H78" s="18">
        <f t="shared" si="8"/>
        <v>755.65371847511233</v>
      </c>
      <c r="I78" s="18">
        <f t="shared" si="9"/>
        <v>2680342.965124154</v>
      </c>
      <c r="J78" s="16">
        <f t="shared" si="10"/>
        <v>1340171.482562077</v>
      </c>
      <c r="K78" s="16">
        <v>325</v>
      </c>
      <c r="L78" s="16">
        <v>1.5</v>
      </c>
      <c r="M78" s="16">
        <f t="shared" si="11"/>
        <v>20102.572238431156</v>
      </c>
      <c r="N78" s="16">
        <f t="shared" si="12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f t="shared" si="13"/>
        <v>693.23083599344602</v>
      </c>
      <c r="F79" s="17">
        <v>2.5</v>
      </c>
      <c r="G79" s="18">
        <f t="shared" si="14"/>
        <v>166497.29365275442</v>
      </c>
      <c r="H79" s="18">
        <f t="shared" si="8"/>
        <v>794.48640439886799</v>
      </c>
      <c r="I79" s="18">
        <f t="shared" si="9"/>
        <v>2948597.2616365696</v>
      </c>
      <c r="J79" s="16">
        <f t="shared" si="10"/>
        <v>1474298.6308182848</v>
      </c>
      <c r="K79" s="16">
        <v>325</v>
      </c>
      <c r="L79" s="16">
        <v>1.5</v>
      </c>
      <c r="M79" s="16">
        <f t="shared" si="11"/>
        <v>22114.47946227427</v>
      </c>
      <c r="N79" s="16">
        <f t="shared" si="12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f t="shared" si="13"/>
        <v>703.69699017341316</v>
      </c>
      <c r="F80" s="17">
        <v>2.5</v>
      </c>
      <c r="G80" s="18">
        <f t="shared" si="14"/>
        <v>183159.12301802987</v>
      </c>
      <c r="H80" s="18">
        <f t="shared" si="8"/>
        <v>835.26072461881142</v>
      </c>
      <c r="I80" s="18">
        <f t="shared" si="9"/>
        <v>3243676.987800227</v>
      </c>
      <c r="J80" s="16">
        <f t="shared" si="10"/>
        <v>1621838.4939001135</v>
      </c>
      <c r="K80" s="16">
        <v>325</v>
      </c>
      <c r="L80" s="16">
        <v>1.5</v>
      </c>
      <c r="M80" s="16">
        <f t="shared" si="11"/>
        <v>24327.577408501704</v>
      </c>
      <c r="N80" s="16">
        <f t="shared" si="12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f t="shared" si="13"/>
        <v>714.21547512428015</v>
      </c>
      <c r="F81" s="17">
        <v>2.5</v>
      </c>
      <c r="G81" s="18">
        <f t="shared" si="14"/>
        <v>201487.13531983289</v>
      </c>
      <c r="H81" s="18">
        <f t="shared" si="8"/>
        <v>878.07376084975203</v>
      </c>
      <c r="I81" s="18">
        <f t="shared" si="9"/>
        <v>3568264.68658025</v>
      </c>
      <c r="J81" s="16">
        <f t="shared" si="10"/>
        <v>1784132.343290125</v>
      </c>
      <c r="K81" s="16">
        <v>325</v>
      </c>
      <c r="L81" s="16">
        <v>1.5</v>
      </c>
      <c r="M81" s="16">
        <f t="shared" si="11"/>
        <v>26761.98514935188</v>
      </c>
      <c r="N81" s="16">
        <f t="shared" si="12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f t="shared" si="13"/>
        <v>724.78655249990152</v>
      </c>
      <c r="F82" s="17">
        <v>2.5</v>
      </c>
      <c r="G82" s="18">
        <f t="shared" si="14"/>
        <v>221647.94885181618</v>
      </c>
      <c r="H82" s="18">
        <f t="shared" si="8"/>
        <v>923.0274488922397</v>
      </c>
      <c r="I82" s="18">
        <f t="shared" si="9"/>
        <v>3925311.1552382754</v>
      </c>
      <c r="J82" s="16">
        <f t="shared" si="10"/>
        <v>1962655.5776191377</v>
      </c>
      <c r="K82" s="16">
        <v>325</v>
      </c>
      <c r="L82" s="16">
        <v>1.5</v>
      </c>
      <c r="M82" s="16">
        <f t="shared" si="11"/>
        <v>29439.833664287064</v>
      </c>
      <c r="N82" s="16">
        <f t="shared" si="12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f t="shared" si="13"/>
        <v>735.41048526240093</v>
      </c>
      <c r="F83" s="17">
        <v>2.5</v>
      </c>
      <c r="G83" s="18">
        <f t="shared" si="14"/>
        <v>243824.84373699781</v>
      </c>
      <c r="H83" s="18">
        <f t="shared" si="8"/>
        <v>970.22882133685175</v>
      </c>
      <c r="I83" s="18">
        <f t="shared" si="9"/>
        <v>4318062.2707621036</v>
      </c>
      <c r="J83" s="16">
        <f t="shared" si="10"/>
        <v>2159031.1353810518</v>
      </c>
      <c r="K83" s="16">
        <v>325</v>
      </c>
      <c r="L83" s="16">
        <v>1.5</v>
      </c>
      <c r="M83" s="16">
        <f t="shared" si="11"/>
        <v>32385.467030715776</v>
      </c>
      <c r="N83" s="16">
        <f t="shared" si="12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f t="shared" si="13"/>
        <v>746.08753768871281</v>
      </c>
      <c r="F84" s="17">
        <v>2.5</v>
      </c>
      <c r="G84" s="18">
        <f t="shared" si="14"/>
        <v>268219.4281106976</v>
      </c>
      <c r="H84" s="18">
        <f t="shared" si="8"/>
        <v>1019.7902624036943</v>
      </c>
      <c r="I84" s="18">
        <f t="shared" si="9"/>
        <v>4750088.4978383146</v>
      </c>
      <c r="J84" s="16">
        <f t="shared" si="10"/>
        <v>2375044.2489191573</v>
      </c>
      <c r="K84" s="16">
        <v>325</v>
      </c>
      <c r="L84" s="16">
        <v>1.5</v>
      </c>
      <c r="M84" s="16">
        <f t="shared" si="11"/>
        <v>35625.663733787362</v>
      </c>
      <c r="N84" s="16">
        <f t="shared" si="12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f t="shared" si="13"/>
        <v>756.81797537715624</v>
      </c>
      <c r="F85" s="17">
        <v>2.5</v>
      </c>
      <c r="G85" s="18">
        <f t="shared" si="14"/>
        <v>295053.47092176741</v>
      </c>
      <c r="H85" s="18">
        <f t="shared" si="8"/>
        <v>1071.8297755238791</v>
      </c>
      <c r="I85" s="18">
        <f t="shared" si="9"/>
        <v>5225317.3476221468</v>
      </c>
      <c r="J85" s="16">
        <f t="shared" si="10"/>
        <v>2612658.6738110734</v>
      </c>
      <c r="K85" s="16">
        <v>325</v>
      </c>
      <c r="L85" s="16">
        <v>1.5</v>
      </c>
      <c r="M85" s="16">
        <f t="shared" si="11"/>
        <v>39189.8801071661</v>
      </c>
      <c r="N85" s="16">
        <f t="shared" si="12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f t="shared" si="13"/>
        <v>767.60206525404192</v>
      </c>
      <c r="F86" s="17">
        <v>2.5</v>
      </c>
      <c r="G86" s="18">
        <f t="shared" si="14"/>
        <v>324570.91801394417</v>
      </c>
      <c r="H86" s="18">
        <f t="shared" si="8"/>
        <v>1126.471264300073</v>
      </c>
      <c r="I86" s="18">
        <f t="shared" si="9"/>
        <v>5748069.0823843619</v>
      </c>
      <c r="J86" s="16">
        <f t="shared" si="10"/>
        <v>2874034.5411921809</v>
      </c>
      <c r="K86" s="16">
        <v>325</v>
      </c>
      <c r="L86" s="16">
        <v>1.5</v>
      </c>
      <c r="M86" s="16">
        <f t="shared" si="11"/>
        <v>43110.518117882719</v>
      </c>
      <c r="N86" s="16">
        <f t="shared" si="12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f t="shared" si="13"/>
        <v>778.44007558031205</v>
      </c>
      <c r="F87" s="17">
        <v>2.5</v>
      </c>
      <c r="G87" s="18">
        <f t="shared" si="14"/>
        <v>357040.10981533863</v>
      </c>
      <c r="H87" s="18">
        <f t="shared" si="8"/>
        <v>1183.8448275150768</v>
      </c>
      <c r="I87" s="18">
        <f t="shared" si="9"/>
        <v>6323095.9906227989</v>
      </c>
      <c r="J87" s="16">
        <f t="shared" si="10"/>
        <v>3161547.9953113995</v>
      </c>
      <c r="K87" s="16">
        <v>325</v>
      </c>
      <c r="L87" s="16">
        <v>1.5</v>
      </c>
      <c r="M87" s="16">
        <f t="shared" si="11"/>
        <v>47423.219929670988</v>
      </c>
      <c r="N87" s="16">
        <f t="shared" si="12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f t="shared" si="13"/>
        <v>789.33227595821359</v>
      </c>
      <c r="F88" s="17">
        <v>2.5</v>
      </c>
      <c r="G88" s="18">
        <f t="shared" si="14"/>
        <v>392756.22079687251</v>
      </c>
      <c r="H88" s="18">
        <f t="shared" si="8"/>
        <v>1244.0870688908306</v>
      </c>
      <c r="I88" s="18">
        <f t="shared" si="9"/>
        <v>6955625.5896850796</v>
      </c>
      <c r="J88" s="16">
        <f t="shared" si="10"/>
        <v>3477812.7948425398</v>
      </c>
      <c r="K88" s="16">
        <v>325</v>
      </c>
      <c r="L88" s="16">
        <v>1.5</v>
      </c>
      <c r="M88" s="16">
        <f t="shared" si="11"/>
        <v>52167.1919226381</v>
      </c>
      <c r="N88" s="16">
        <f t="shared" si="12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f t="shared" si="13"/>
        <v>800.27893733800454</v>
      </c>
      <c r="F89" s="17">
        <v>2.5</v>
      </c>
      <c r="G89" s="18">
        <f t="shared" si="14"/>
        <v>432043.9428765598</v>
      </c>
      <c r="H89" s="18">
        <f t="shared" si="8"/>
        <v>1307.341422335372</v>
      </c>
      <c r="I89" s="18">
        <f t="shared" si="9"/>
        <v>7651408.1486535883</v>
      </c>
      <c r="J89" s="16">
        <f t="shared" si="10"/>
        <v>3825704.0743267941</v>
      </c>
      <c r="K89" s="16">
        <v>325</v>
      </c>
      <c r="L89" s="16">
        <v>1.5</v>
      </c>
      <c r="M89" s="16">
        <f t="shared" si="11"/>
        <v>57385.56111490191</v>
      </c>
      <c r="N89" s="16">
        <f t="shared" si="12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f t="shared" si="13"/>
        <v>811.28033202469453</v>
      </c>
      <c r="F90" s="17">
        <v>2.5</v>
      </c>
      <c r="G90" s="18">
        <f t="shared" si="14"/>
        <v>475260.43716421584</v>
      </c>
      <c r="H90" s="18">
        <f t="shared" si="8"/>
        <v>1373.7584934521408</v>
      </c>
      <c r="I90" s="18">
        <f t="shared" si="9"/>
        <v>8416768.9635189474</v>
      </c>
      <c r="J90" s="16">
        <f t="shared" si="10"/>
        <v>4208384.4817594737</v>
      </c>
      <c r="K90" s="16">
        <v>325</v>
      </c>
      <c r="L90" s="16">
        <v>1.5</v>
      </c>
      <c r="M90" s="16">
        <f t="shared" si="11"/>
        <v>63125.767226392098</v>
      </c>
      <c r="N90" s="16">
        <f t="shared" si="12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f t="shared" si="13"/>
        <v>822.33673368481789</v>
      </c>
      <c r="F91" s="17">
        <v>2.5</v>
      </c>
      <c r="G91" s="18">
        <f t="shared" si="14"/>
        <v>522798.58088063746</v>
      </c>
      <c r="H91" s="18">
        <f t="shared" si="8"/>
        <v>1443.4964181247478</v>
      </c>
      <c r="I91" s="18">
        <f t="shared" si="9"/>
        <v>9258665.8598708436</v>
      </c>
      <c r="J91" s="16">
        <f t="shared" si="10"/>
        <v>4629332.9299354218</v>
      </c>
      <c r="K91" s="16">
        <v>325</v>
      </c>
      <c r="L91" s="16">
        <v>1.5</v>
      </c>
      <c r="M91" s="16">
        <f t="shared" si="11"/>
        <v>69439.993949031326</v>
      </c>
      <c r="N91" s="16">
        <f t="shared" si="12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f t="shared" si="13"/>
        <v>833.44841735324189</v>
      </c>
      <c r="F92" s="17">
        <v>2.5</v>
      </c>
      <c r="G92" s="18">
        <f t="shared" si="14"/>
        <v>575090.53896870126</v>
      </c>
      <c r="H92" s="18">
        <f t="shared" si="8"/>
        <v>1516.7212390309853</v>
      </c>
      <c r="I92" s="18">
        <f t="shared" si="9"/>
        <v>10184752.445857929</v>
      </c>
      <c r="J92" s="16">
        <f t="shared" si="10"/>
        <v>5092376.2229289645</v>
      </c>
      <c r="K92" s="16">
        <v>325</v>
      </c>
      <c r="L92" s="16">
        <v>1.5</v>
      </c>
      <c r="M92" s="16">
        <f t="shared" si="11"/>
        <v>76385.643343934469</v>
      </c>
      <c r="N92" s="16">
        <f t="shared" si="12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f t="shared" si="13"/>
        <v>844.61565944000802</v>
      </c>
      <c r="F93" s="17">
        <v>2.5</v>
      </c>
      <c r="G93" s="18">
        <f t="shared" si="14"/>
        <v>632611.69286557147</v>
      </c>
      <c r="H93" s="18">
        <f t="shared" si="8"/>
        <v>1593.6073009825348</v>
      </c>
      <c r="I93" s="18">
        <f t="shared" si="9"/>
        <v>11203447.690443723</v>
      </c>
      <c r="J93" s="16">
        <f t="shared" si="10"/>
        <v>5601723.8452218613</v>
      </c>
      <c r="K93" s="16">
        <v>325</v>
      </c>
      <c r="L93" s="16">
        <v>1.5</v>
      </c>
      <c r="M93" s="16">
        <f t="shared" si="11"/>
        <v>84025.857678327913</v>
      </c>
      <c r="N93" s="16">
        <f t="shared" si="12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f t="shared" si="13"/>
        <v>855.83873773720802</v>
      </c>
      <c r="F94" s="17">
        <v>2.5</v>
      </c>
      <c r="G94" s="18">
        <f t="shared" si="14"/>
        <v>695884.96215212869</v>
      </c>
      <c r="H94" s="18">
        <f t="shared" si="8"/>
        <v>1674.3376660316615</v>
      </c>
      <c r="I94" s="18">
        <f t="shared" si="9"/>
        <v>12324012.459488096</v>
      </c>
      <c r="J94" s="16">
        <f t="shared" si="10"/>
        <v>6162006.2297440479</v>
      </c>
      <c r="K94" s="16">
        <v>325</v>
      </c>
      <c r="L94" s="16">
        <v>1.5</v>
      </c>
      <c r="M94" s="16">
        <f t="shared" si="11"/>
        <v>92430.093446160725</v>
      </c>
      <c r="N94" s="16">
        <f t="shared" si="12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f t="shared" si="13"/>
        <v>867.11793142589397</v>
      </c>
      <c r="F95" s="17">
        <v>2.5</v>
      </c>
      <c r="G95" s="18">
        <f t="shared" si="14"/>
        <v>765485.55836734164</v>
      </c>
      <c r="H95" s="18">
        <f t="shared" si="8"/>
        <v>1759.1045493332447</v>
      </c>
      <c r="I95" s="18">
        <f t="shared" si="9"/>
        <v>13556633.705436906</v>
      </c>
      <c r="J95" s="16">
        <f t="shared" si="10"/>
        <v>6778316.8527184529</v>
      </c>
      <c r="K95" s="16">
        <v>325</v>
      </c>
      <c r="L95" s="16">
        <v>1.5</v>
      </c>
      <c r="M95" s="16">
        <f t="shared" si="11"/>
        <v>101674.75279077681</v>
      </c>
      <c r="N95" s="16">
        <f t="shared" si="12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f t="shared" si="13"/>
        <v>878.45352108302336</v>
      </c>
      <c r="F96" s="17">
        <v>2.5</v>
      </c>
      <c r="G96" s="18">
        <f t="shared" si="14"/>
        <v>842046.21420407586</v>
      </c>
      <c r="H96" s="18">
        <f t="shared" si="8"/>
        <v>1848.109776799907</v>
      </c>
      <c r="I96" s="18">
        <f t="shared" si="9"/>
        <v>14912517.075980598</v>
      </c>
      <c r="J96" s="16">
        <f t="shared" si="10"/>
        <v>7456258.5379902991</v>
      </c>
      <c r="K96" s="16">
        <v>325</v>
      </c>
      <c r="L96" s="16">
        <v>1.5</v>
      </c>
      <c r="M96" s="16">
        <f t="shared" si="11"/>
        <v>111843.87806985449</v>
      </c>
      <c r="N96" s="16">
        <f t="shared" si="12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f t="shared" si="13"/>
        <v>889.84578868843835</v>
      </c>
      <c r="F97" s="17">
        <v>2.5</v>
      </c>
      <c r="G97" s="18">
        <f t="shared" si="14"/>
        <v>926262.93562448351</v>
      </c>
      <c r="H97" s="18">
        <f t="shared" si="8"/>
        <v>1941.5652656399025</v>
      </c>
      <c r="I97" s="18">
        <f t="shared" si="9"/>
        <v>16403988.783578658</v>
      </c>
      <c r="J97" s="16">
        <f t="shared" si="10"/>
        <v>8201994.3917893292</v>
      </c>
      <c r="K97" s="16">
        <v>325</v>
      </c>
      <c r="L97" s="16">
        <v>1.5</v>
      </c>
      <c r="M97" s="16">
        <f t="shared" si="11"/>
        <v>123029.91587683995</v>
      </c>
      <c r="N97" s="16">
        <f t="shared" si="12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f t="shared" si="13"/>
        <v>901.29501763188046</v>
      </c>
      <c r="F98" s="17">
        <v>2.5</v>
      </c>
      <c r="G98" s="18">
        <f t="shared" si="14"/>
        <v>1018901.329186932</v>
      </c>
      <c r="H98" s="18">
        <f t="shared" si="8"/>
        <v>2039.6935289218977</v>
      </c>
      <c r="I98" s="18">
        <f t="shared" si="9"/>
        <v>18044607.661936525</v>
      </c>
      <c r="J98" s="16">
        <f t="shared" si="10"/>
        <v>9022303.8309682626</v>
      </c>
      <c r="K98" s="16">
        <v>325</v>
      </c>
      <c r="L98" s="16">
        <v>1.5</v>
      </c>
      <c r="M98" s="16">
        <f t="shared" si="11"/>
        <v>135334.55746452394</v>
      </c>
      <c r="N98" s="16">
        <f t="shared" si="12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f t="shared" si="13"/>
        <v>912.80149272003973</v>
      </c>
      <c r="F99" s="17">
        <v>2.5</v>
      </c>
      <c r="G99" s="18">
        <f t="shared" si="14"/>
        <v>1120803.5621056252</v>
      </c>
      <c r="H99" s="18">
        <f t="shared" si="8"/>
        <v>2142.7282053679928</v>
      </c>
      <c r="I99" s="18">
        <f t="shared" si="9"/>
        <v>19849288.42813018</v>
      </c>
      <c r="J99" s="16">
        <f t="shared" si="10"/>
        <v>9924644.2140650898</v>
      </c>
      <c r="K99" s="16">
        <v>325</v>
      </c>
      <c r="L99" s="16">
        <v>1.5</v>
      </c>
      <c r="M99" s="16">
        <f t="shared" si="11"/>
        <v>148869.66321097634</v>
      </c>
      <c r="N99" s="16">
        <f t="shared" si="12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f t="shared" si="13"/>
        <v>924.36550018363982</v>
      </c>
      <c r="F100" s="17">
        <v>2.5</v>
      </c>
      <c r="G100" s="18">
        <f t="shared" si="14"/>
        <v>1232896.0183161879</v>
      </c>
      <c r="H100" s="18">
        <f t="shared" si="8"/>
        <v>2250.9146156363927</v>
      </c>
      <c r="I100" s="18">
        <f t="shared" si="9"/>
        <v>21834437.270943198</v>
      </c>
      <c r="J100" s="16">
        <f t="shared" si="10"/>
        <v>10917218.635471599</v>
      </c>
      <c r="K100" s="16">
        <v>325</v>
      </c>
      <c r="L100" s="16">
        <v>1.5</v>
      </c>
      <c r="M100" s="16">
        <f t="shared" si="11"/>
        <v>163758.279532074</v>
      </c>
      <c r="N100" s="16">
        <f t="shared" si="12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f t="shared" si="13"/>
        <v>935.98732768455795</v>
      </c>
      <c r="F101" s="17">
        <v>2.5</v>
      </c>
      <c r="G101" s="18">
        <f t="shared" si="14"/>
        <v>1356197.7201478067</v>
      </c>
      <c r="H101" s="18">
        <f t="shared" si="8"/>
        <v>2364.5103464182125</v>
      </c>
      <c r="I101" s="18">
        <f t="shared" si="9"/>
        <v>24018100.998037521</v>
      </c>
      <c r="J101" s="16">
        <f t="shared" si="10"/>
        <v>12009050.49901876</v>
      </c>
      <c r="K101" s="16">
        <v>325</v>
      </c>
      <c r="L101" s="16">
        <v>1.5</v>
      </c>
      <c r="M101" s="16">
        <f t="shared" si="11"/>
        <v>180135.75748528141</v>
      </c>
      <c r="N101" s="16">
        <f t="shared" si="12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f t="shared" si="13"/>
        <v>947.6672643229806</v>
      </c>
      <c r="F102" s="17">
        <v>2.5</v>
      </c>
      <c r="G102" s="18">
        <f t="shared" si="14"/>
        <v>1491829.5921625874</v>
      </c>
      <c r="H102" s="18">
        <f t="shared" si="8"/>
        <v>2483.7858637391232</v>
      </c>
      <c r="I102" s="18">
        <f t="shared" si="9"/>
        <v>26420131.097841274</v>
      </c>
      <c r="J102" s="16">
        <f t="shared" si="10"/>
        <v>13210065.548920637</v>
      </c>
      <c r="K102" s="16">
        <v>325</v>
      </c>
      <c r="L102" s="16">
        <v>1.5</v>
      </c>
      <c r="M102" s="16">
        <f t="shared" si="11"/>
        <v>198150.98323380956</v>
      </c>
      <c r="N102" s="16">
        <f t="shared" si="12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f t="shared" si="13"/>
        <v>959.40560064459544</v>
      </c>
      <c r="F103" s="17">
        <v>2.5</v>
      </c>
      <c r="G103" s="18">
        <f t="shared" si="14"/>
        <v>1641024.6513788463</v>
      </c>
      <c r="H103" s="18">
        <f t="shared" si="8"/>
        <v>2609.0251569260795</v>
      </c>
      <c r="I103" s="18">
        <f t="shared" si="9"/>
        <v>29062364.207625404</v>
      </c>
      <c r="J103" s="16">
        <f t="shared" si="10"/>
        <v>14531182.103812702</v>
      </c>
      <c r="K103" s="16">
        <v>325</v>
      </c>
      <c r="L103" s="16">
        <v>1.5</v>
      </c>
      <c r="M103" s="16">
        <f t="shared" si="11"/>
        <v>217967.73155719053</v>
      </c>
      <c r="N103" s="16">
        <f t="shared" si="12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3" si="15">I104*0.01*0.75</f>
        <v>147.15</v>
      </c>
      <c r="N104" s="33">
        <f t="shared" ref="N104:N113" si="16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5"/>
        <v>539.505</v>
      </c>
      <c r="N105" s="33">
        <f t="shared" si="16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5"/>
        <v>1557.09</v>
      </c>
      <c r="N106" s="33">
        <f t="shared" si="16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5"/>
        <v>4196.5199999999995</v>
      </c>
      <c r="N107" s="33">
        <f t="shared" si="16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8780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5"/>
        <v>11042.460000000001</v>
      </c>
      <c r="N108" s="33">
        <f t="shared" si="16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10660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5"/>
        <v>28799.055</v>
      </c>
      <c r="N109" s="33">
        <f t="shared" si="16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12640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5"/>
        <v>74855.16</v>
      </c>
      <c r="N110" s="33">
        <f t="shared" si="16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14700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5"/>
        <v>194312.79</v>
      </c>
      <c r="N111" s="33">
        <f t="shared" si="16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16900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5"/>
        <v>504155.16000000003</v>
      </c>
      <c r="N112" s="33">
        <f t="shared" si="16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19180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 t="shared" si="15"/>
        <v>1307806.3800000001</v>
      </c>
      <c r="N113" s="33">
        <f t="shared" si="16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6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>
        <v>9700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>
        <v>11620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>
        <v>13660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>
        <v>15780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>
        <v>18020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19180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2019-03-22T08:06:05Z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