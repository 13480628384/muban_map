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FA4FF169-285D-4DD8-B390-89077BB274C3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I69" i="30" l="1"/>
  <c r="I77" i="30" s="1"/>
  <c r="I68" i="30"/>
  <c r="I67" i="30"/>
  <c r="I66" i="30"/>
  <c r="I65" i="30"/>
  <c r="I64" i="30"/>
  <c r="I76" i="30" l="1"/>
  <c r="D5" i="30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J4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D65" i="30" l="1"/>
  <c r="E75" i="30"/>
  <c r="E74" i="30"/>
  <c r="D66" i="30" l="1"/>
  <c r="D67" i="30" s="1"/>
  <c r="D68" i="30" s="1"/>
  <c r="D69" i="30" s="1"/>
  <c r="D76" i="30" s="1"/>
  <c r="D77" i="30" s="1"/>
  <c r="E73" i="30"/>
  <c r="E72" i="30" l="1"/>
  <c r="E71" i="30" l="1"/>
  <c r="N4" i="30"/>
  <c r="E70" i="30" l="1"/>
  <c r="J5" i="30"/>
  <c r="N5" i="30" s="1"/>
  <c r="J6" i="30" l="1"/>
  <c r="N6" i="30" s="1"/>
  <c r="J7" i="30"/>
  <c r="N7" i="30" s="1"/>
  <c r="J8" i="30" l="1"/>
  <c r="N8" i="30" s="1"/>
  <c r="J9" i="30" l="1"/>
  <c r="N9" i="30" s="1"/>
  <c r="J10" i="30" l="1"/>
  <c r="N10" i="30" s="1"/>
  <c r="J11" i="30" l="1"/>
  <c r="N11" i="30" s="1"/>
  <c r="J12" i="30" l="1"/>
  <c r="N12" i="30" s="1"/>
  <c r="J13" i="30" l="1"/>
  <c r="N13" i="30" l="1"/>
  <c r="J64" i="30"/>
  <c r="N64" i="30" s="1"/>
  <c r="J14" i="30"/>
  <c r="N14" i="30" s="1"/>
  <c r="J15" i="30" l="1"/>
  <c r="N15" i="30" s="1"/>
  <c r="J16" i="30" l="1"/>
  <c r="N16" i="30" s="1"/>
  <c r="J17" i="30" l="1"/>
  <c r="N17" i="30" s="1"/>
  <c r="J18" i="30" l="1"/>
  <c r="N18" i="30" s="1"/>
  <c r="J19" i="30" l="1"/>
  <c r="N19" i="30" s="1"/>
  <c r="J20" i="30" l="1"/>
  <c r="N20" i="30" s="1"/>
  <c r="J21" i="30" l="1"/>
  <c r="N21" i="30" s="1"/>
  <c r="J22" i="30" l="1"/>
  <c r="N22" i="30" s="1"/>
  <c r="J23" i="30" l="1"/>
  <c r="N23" i="30" l="1"/>
  <c r="J65" i="30"/>
  <c r="N65" i="30" s="1"/>
  <c r="J24" i="30"/>
  <c r="N24" i="30" s="1"/>
  <c r="J25" i="30" l="1"/>
  <c r="N25" i="30" s="1"/>
  <c r="J26" i="30" l="1"/>
  <c r="N26" i="30" s="1"/>
  <c r="J27" i="30" l="1"/>
  <c r="N27" i="30" s="1"/>
  <c r="J28" i="30" l="1"/>
  <c r="N28" i="30" s="1"/>
  <c r="J29" i="30" l="1"/>
  <c r="N29" i="30" s="1"/>
  <c r="J30" i="30" l="1"/>
  <c r="N30" i="30" s="1"/>
  <c r="J31" i="30" l="1"/>
  <c r="N31" i="30" s="1"/>
  <c r="J32" i="30" l="1"/>
  <c r="N32" i="30" s="1"/>
  <c r="J33" i="30" l="1"/>
  <c r="N33" i="30" l="1"/>
  <c r="J66" i="30"/>
  <c r="N66" i="30" s="1"/>
  <c r="J34" i="30"/>
  <c r="N34" i="30" s="1"/>
  <c r="J35" i="30" l="1"/>
  <c r="N35" i="30" s="1"/>
  <c r="J36" i="30" l="1"/>
  <c r="N36" i="30" s="1"/>
  <c r="J37" i="30" l="1"/>
  <c r="N37" i="30" s="1"/>
  <c r="J38" i="30" l="1"/>
  <c r="N38" i="30" s="1"/>
  <c r="J39" i="30" l="1"/>
  <c r="N39" i="30" s="1"/>
  <c r="J40" i="30" l="1"/>
  <c r="N40" i="30" s="1"/>
  <c r="J41" i="30" l="1"/>
  <c r="N41" i="30" s="1"/>
  <c r="J42" i="30" l="1"/>
  <c r="N42" i="30" s="1"/>
  <c r="J43" i="30" l="1"/>
  <c r="N43" i="30" l="1"/>
  <c r="J67" i="30"/>
  <c r="N67" i="30" s="1"/>
  <c r="J44" i="30"/>
  <c r="N44" i="30" s="1"/>
  <c r="J45" i="30" l="1"/>
  <c r="N45" i="30" s="1"/>
  <c r="J46" i="30" l="1"/>
  <c r="N46" i="30" s="1"/>
  <c r="J47" i="30" l="1"/>
  <c r="N47" i="30" s="1"/>
  <c r="J48" i="30" l="1"/>
  <c r="N48" i="30" s="1"/>
  <c r="J49" i="30" l="1"/>
  <c r="N49" i="30" s="1"/>
  <c r="J50" i="30" l="1"/>
  <c r="N50" i="30" s="1"/>
  <c r="J51" i="30" l="1"/>
  <c r="N51" i="30" s="1"/>
  <c r="J52" i="30" l="1"/>
  <c r="N52" i="30" s="1"/>
  <c r="J53" i="30" l="1"/>
  <c r="N53" i="30" l="1"/>
  <c r="J68" i="30"/>
  <c r="N68" i="30" s="1"/>
  <c r="J54" i="30"/>
  <c r="N54" i="30" s="1"/>
  <c r="J55" i="30" l="1"/>
  <c r="N55" i="30" s="1"/>
  <c r="J56" i="30" l="1"/>
  <c r="N56" i="30" s="1"/>
  <c r="J57" i="30" l="1"/>
  <c r="N57" i="30" s="1"/>
  <c r="J58" i="30" l="1"/>
  <c r="N58" i="30" s="1"/>
  <c r="J59" i="30" l="1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<sst xmlns="http://schemas.openxmlformats.org/spreadsheetml/2006/main" count="935" uniqueCount="528">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</sst>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N18" sqref="N18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8" workbookViewId="0">
      <selection activeCell="L115" sqref="L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topLeftCell="B43" workbookViewId="0">
      <selection activeCell="I65" sqref="I65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0.8</v>
      </c>
      <c r="G4" s="32">
        <v>10</v>
      </c>
      <c r="H4" s="32">
        <v>0</v>
      </c>
      <c r="I4" s="32">
        <v>600</v>
      </c>
      <c r="J4" s="32">
        <f>I4/2</f>
        <v>300</v>
      </c>
      <c r="K4" s="32">
        <v>325</v>
      </c>
      <c r="L4" s="32">
        <v>1.25</v>
      </c>
      <c r="M4" s="32">
        <v>0.6</v>
      </c>
      <c r="N4" s="32">
        <f>J4*0.01</f>
        <v>3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0.8</v>
      </c>
      <c r="G5" s="32">
        <f>(G4+15)*1.18</f>
        <v>29.5</v>
      </c>
      <c r="H5" s="32">
        <f>(H4+1)*1.097</f>
        <v>1.097</v>
      </c>
      <c r="I5" s="32">
        <v>1896.0000000000002</v>
      </c>
      <c r="J5" s="32">
        <f t="shared" ref="J5:J63" si="0">I5/2</f>
        <v>948.00000000000011</v>
      </c>
      <c r="K5" s="32">
        <v>325</v>
      </c>
      <c r="L5" s="32">
        <v>1.25</v>
      </c>
      <c r="M5" s="32">
        <v>1.8960000000000004</v>
      </c>
      <c r="N5" s="32">
        <f t="shared" ref="N5:N68" si="1">J5*0.01</f>
        <v>9.4800000000000022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2">D5+0.5</f>
        <v>16</v>
      </c>
      <c r="E6" s="29">
        <f t="shared" ref="E6:E63" si="3">E5+7.5</f>
        <v>40</v>
      </c>
      <c r="F6" s="36">
        <v>0.8</v>
      </c>
      <c r="G6" s="32">
        <f t="shared" ref="G6:G63" si="4">(G5+15)*1.18</f>
        <v>52.51</v>
      </c>
      <c r="H6" s="32">
        <f t="shared" ref="H6:H63" si="5">(H5+1)*1.097</f>
        <v>2.3004089999999997</v>
      </c>
      <c r="I6" s="32">
        <v>3431.7600000000011</v>
      </c>
      <c r="J6" s="32">
        <f t="shared" si="0"/>
        <v>1715.8800000000006</v>
      </c>
      <c r="K6" s="32">
        <v>325</v>
      </c>
      <c r="L6" s="32">
        <v>1.25</v>
      </c>
      <c r="M6" s="32">
        <v>3.4317600000000006</v>
      </c>
      <c r="N6" s="32">
        <f t="shared" si="1"/>
        <v>17.158800000000006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2"/>
        <v>16.5</v>
      </c>
      <c r="E7" s="29">
        <f t="shared" si="3"/>
        <v>47.5</v>
      </c>
      <c r="F7" s="36">
        <v>0.8</v>
      </c>
      <c r="G7" s="32">
        <f t="shared" si="4"/>
        <v>79.661799999999985</v>
      </c>
      <c r="H7" s="32">
        <f t="shared" si="5"/>
        <v>3.6205486729999996</v>
      </c>
      <c r="I7" s="32">
        <v>5251.6356000000005</v>
      </c>
      <c r="J7" s="32">
        <f t="shared" si="0"/>
        <v>2625.8178000000003</v>
      </c>
      <c r="K7" s="32">
        <v>325</v>
      </c>
      <c r="L7" s="32">
        <v>1.25</v>
      </c>
      <c r="M7" s="32">
        <v>5.2516356000000011</v>
      </c>
      <c r="N7" s="32">
        <f t="shared" si="1"/>
        <v>26.258178000000004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2"/>
        <v>17</v>
      </c>
      <c r="E8" s="29">
        <f t="shared" si="3"/>
        <v>55</v>
      </c>
      <c r="F8" s="36">
        <v>0.8</v>
      </c>
      <c r="G8" s="32">
        <f t="shared" si="4"/>
        <v>111.70092399999997</v>
      </c>
      <c r="H8" s="32">
        <f t="shared" si="5"/>
        <v>5.0687418942809996</v>
      </c>
      <c r="I8" s="32">
        <v>7408.1881860000012</v>
      </c>
      <c r="J8" s="32">
        <f t="shared" si="0"/>
        <v>3704.0940930000006</v>
      </c>
      <c r="K8" s="32">
        <v>325</v>
      </c>
      <c r="L8" s="32">
        <v>1.25</v>
      </c>
      <c r="M8" s="32">
        <v>7.4081881860000012</v>
      </c>
      <c r="N8" s="32">
        <f t="shared" si="1"/>
        <v>37.040940930000005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2"/>
        <v>17.5</v>
      </c>
      <c r="E9" s="29">
        <f t="shared" si="3"/>
        <v>62.5</v>
      </c>
      <c r="F9" s="36">
        <v>0.8</v>
      </c>
      <c r="G9" s="32">
        <f t="shared" si="4"/>
        <v>149.50709031999995</v>
      </c>
      <c r="H9" s="32">
        <f t="shared" si="5"/>
        <v>6.6574098580262566</v>
      </c>
      <c r="I9" s="32">
        <v>7970.9624003280014</v>
      </c>
      <c r="J9" s="32">
        <f t="shared" si="0"/>
        <v>3985.4812001640007</v>
      </c>
      <c r="K9" s="32">
        <v>325</v>
      </c>
      <c r="L9" s="32">
        <v>1.25</v>
      </c>
      <c r="M9" s="32">
        <v>9.9637030004100016</v>
      </c>
      <c r="N9" s="32">
        <f t="shared" si="1"/>
        <v>39.854812001640006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2"/>
        <v>18</v>
      </c>
      <c r="E10" s="29">
        <f t="shared" si="3"/>
        <v>70</v>
      </c>
      <c r="F10" s="36">
        <v>0.8</v>
      </c>
      <c r="G10" s="32">
        <f t="shared" si="4"/>
        <v>194.11836657759991</v>
      </c>
      <c r="H10" s="32">
        <f t="shared" si="5"/>
        <v>8.4001786142548038</v>
      </c>
      <c r="I10" s="32">
        <v>10393.590444388681</v>
      </c>
      <c r="J10" s="32">
        <f t="shared" si="0"/>
        <v>5196.7952221943406</v>
      </c>
      <c r="K10" s="32">
        <v>325</v>
      </c>
      <c r="L10" s="32">
        <v>1.25</v>
      </c>
      <c r="M10" s="32">
        <v>12.991988055485852</v>
      </c>
      <c r="N10" s="32">
        <f t="shared" si="1"/>
        <v>51.967952221943406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2"/>
        <v>18.5</v>
      </c>
      <c r="E11" s="29">
        <f t="shared" si="3"/>
        <v>77.5</v>
      </c>
      <c r="F11" s="36">
        <v>0.8</v>
      </c>
      <c r="G11" s="32">
        <f t="shared" si="4"/>
        <v>246.7596725615679</v>
      </c>
      <c r="H11" s="32">
        <f t="shared" si="5"/>
        <v>10.311995939837519</v>
      </c>
      <c r="I11" s="32">
        <v>13264.404676600587</v>
      </c>
      <c r="J11" s="32">
        <f t="shared" si="0"/>
        <v>6632.2023383002934</v>
      </c>
      <c r="K11" s="32">
        <v>325</v>
      </c>
      <c r="L11" s="32">
        <v>1.25</v>
      </c>
      <c r="M11" s="32">
        <v>16.580505845750736</v>
      </c>
      <c r="N11" s="32">
        <f t="shared" si="1"/>
        <v>66.322023383002929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2"/>
        <v>19</v>
      </c>
      <c r="E12" s="29">
        <f t="shared" si="3"/>
        <v>85</v>
      </c>
      <c r="F12" s="36">
        <v>0.8</v>
      </c>
      <c r="G12" s="32">
        <f t="shared" si="4"/>
        <v>308.87641362265009</v>
      </c>
      <c r="H12" s="32">
        <f t="shared" si="5"/>
        <v>12.409259546001758</v>
      </c>
      <c r="I12" s="32">
        <v>16666.3195417717</v>
      </c>
      <c r="J12" s="32">
        <f t="shared" si="0"/>
        <v>8333.1597708858499</v>
      </c>
      <c r="K12" s="32">
        <v>325</v>
      </c>
      <c r="L12" s="32">
        <v>1.25</v>
      </c>
      <c r="M12" s="32">
        <v>20.832899427214624</v>
      </c>
      <c r="N12" s="32">
        <f t="shared" si="1"/>
        <v>83.331597708858496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2"/>
        <v>19.5</v>
      </c>
      <c r="E13" s="29">
        <f t="shared" si="3"/>
        <v>92.5</v>
      </c>
      <c r="F13" s="36">
        <v>0.8</v>
      </c>
      <c r="G13" s="32">
        <f t="shared" si="4"/>
        <v>382.17416807472711</v>
      </c>
      <c r="H13" s="32">
        <f t="shared" si="5"/>
        <v>14.709957721963928</v>
      </c>
      <c r="I13" s="32">
        <v>20697.588656999465</v>
      </c>
      <c r="J13" s="32">
        <f t="shared" si="0"/>
        <v>10348.794328499733</v>
      </c>
      <c r="K13" s="32">
        <v>325</v>
      </c>
      <c r="L13" s="32">
        <v>1.25</v>
      </c>
      <c r="M13" s="32">
        <v>25.871985821249332</v>
      </c>
      <c r="N13" s="32">
        <f t="shared" si="1"/>
        <v>103.48794328499733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2"/>
        <v>20</v>
      </c>
      <c r="E14" s="29">
        <f t="shared" si="3"/>
        <v>100</v>
      </c>
      <c r="F14" s="36">
        <v>0.8</v>
      </c>
      <c r="G14" s="32">
        <f t="shared" si="4"/>
        <v>468.66551832817794</v>
      </c>
      <c r="H14" s="32">
        <f t="shared" si="5"/>
        <v>17.233823620994428</v>
      </c>
      <c r="I14" s="32">
        <v>22290.312238726321</v>
      </c>
      <c r="J14" s="32">
        <f t="shared" si="0"/>
        <v>11145.156119363161</v>
      </c>
      <c r="K14" s="32">
        <v>325</v>
      </c>
      <c r="L14" s="32">
        <v>1.25</v>
      </c>
      <c r="M14" s="32">
        <v>31.843303198180461</v>
      </c>
      <c r="N14" s="32">
        <f t="shared" si="1"/>
        <v>111.4515611936316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2"/>
        <v>20.5</v>
      </c>
      <c r="E15" s="29">
        <f t="shared" si="3"/>
        <v>107.5</v>
      </c>
      <c r="F15" s="36">
        <v>0.8</v>
      </c>
      <c r="G15" s="32">
        <f t="shared" si="4"/>
        <v>570.72531162724999</v>
      </c>
      <c r="H15" s="32">
        <f t="shared" si="5"/>
        <v>20.002504512230889</v>
      </c>
      <c r="I15" s="32">
        <v>27243.520002890691</v>
      </c>
      <c r="J15" s="32">
        <f t="shared" si="0"/>
        <v>13621.760001445346</v>
      </c>
      <c r="K15" s="32">
        <v>325</v>
      </c>
      <c r="L15" s="32">
        <v>1.25</v>
      </c>
      <c r="M15" s="32">
        <v>38.919314289843847</v>
      </c>
      <c r="N15" s="32">
        <f t="shared" si="1"/>
        <v>136.21760001445347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2"/>
        <v>21</v>
      </c>
      <c r="E16" s="29">
        <f t="shared" si="3"/>
        <v>115</v>
      </c>
      <c r="F16" s="36">
        <v>0.8</v>
      </c>
      <c r="G16" s="32">
        <f t="shared" si="4"/>
        <v>691.1558677201549</v>
      </c>
      <c r="H16" s="32">
        <f t="shared" si="5"/>
        <v>23.039747449917286</v>
      </c>
      <c r="I16" s="32">
        <v>33113.071203425476</v>
      </c>
      <c r="J16" s="32">
        <f t="shared" si="0"/>
        <v>16556.535601712738</v>
      </c>
      <c r="K16" s="32">
        <v>325</v>
      </c>
      <c r="L16" s="32">
        <v>1.25</v>
      </c>
      <c r="M16" s="32">
        <v>47.30438743346496</v>
      </c>
      <c r="N16" s="32">
        <f t="shared" si="1"/>
        <v>165.56535601712739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2"/>
        <v>21.5</v>
      </c>
      <c r="E17" s="29">
        <f t="shared" si="3"/>
        <v>122.5</v>
      </c>
      <c r="F17" s="36">
        <v>0.8</v>
      </c>
      <c r="G17" s="32">
        <f t="shared" si="4"/>
        <v>833.26392390978276</v>
      </c>
      <c r="H17" s="32">
        <f t="shared" si="5"/>
        <v>26.371602952559261</v>
      </c>
      <c r="I17" s="32">
        <v>40068.489376059188</v>
      </c>
      <c r="J17" s="32">
        <f t="shared" si="0"/>
        <v>20034.244688029594</v>
      </c>
      <c r="K17" s="32">
        <v>325</v>
      </c>
      <c r="L17" s="32">
        <v>1.25</v>
      </c>
      <c r="M17" s="32">
        <v>57.240699108655981</v>
      </c>
      <c r="N17" s="32">
        <f t="shared" si="1"/>
        <v>200.34244688029594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2"/>
        <v>22</v>
      </c>
      <c r="E18" s="29">
        <f t="shared" si="3"/>
        <v>130</v>
      </c>
      <c r="F18" s="36">
        <v>0.8</v>
      </c>
      <c r="G18" s="32">
        <f t="shared" si="4"/>
        <v>1000.9514302135436</v>
      </c>
      <c r="H18" s="32">
        <f t="shared" si="5"/>
        <v>30.026648438957508</v>
      </c>
      <c r="I18" s="32">
        <v>48310.659910630136</v>
      </c>
      <c r="J18" s="32">
        <f t="shared" si="0"/>
        <v>24155.329955315068</v>
      </c>
      <c r="K18" s="32">
        <v>325</v>
      </c>
      <c r="L18" s="32">
        <v>1.25</v>
      </c>
      <c r="M18" s="32">
        <v>69.015228443757337</v>
      </c>
      <c r="N18" s="32">
        <f t="shared" si="1"/>
        <v>241.55329955315068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2"/>
        <v>22.5</v>
      </c>
      <c r="E19" s="29">
        <f t="shared" si="3"/>
        <v>137.5</v>
      </c>
      <c r="F19" s="36">
        <v>0.8</v>
      </c>
      <c r="G19" s="32">
        <f t="shared" si="4"/>
        <v>1198.8226876519814</v>
      </c>
      <c r="H19" s="32">
        <f t="shared" si="5"/>
        <v>34.036233337536387</v>
      </c>
      <c r="I19" s="32">
        <v>49780.827423511473</v>
      </c>
      <c r="J19" s="32">
        <f t="shared" si="0"/>
        <v>24890.413711755737</v>
      </c>
      <c r="K19" s="32">
        <v>325</v>
      </c>
      <c r="L19" s="32">
        <v>1.25</v>
      </c>
      <c r="M19" s="32">
        <v>82.968045705852461</v>
      </c>
      <c r="N19" s="32">
        <f t="shared" si="1"/>
        <v>248.90413711755738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2"/>
        <v>23</v>
      </c>
      <c r="E20" s="29">
        <f t="shared" si="3"/>
        <v>145</v>
      </c>
      <c r="F20" s="36">
        <v>0.8</v>
      </c>
      <c r="G20" s="32">
        <f t="shared" si="4"/>
        <v>1432.310771429338</v>
      </c>
      <c r="H20" s="32">
        <f t="shared" si="5"/>
        <v>38.434747971277417</v>
      </c>
      <c r="I20" s="32">
        <v>59701.280496861102</v>
      </c>
      <c r="J20" s="32">
        <f t="shared" si="0"/>
        <v>29850.640248430551</v>
      </c>
      <c r="K20" s="32">
        <v>325</v>
      </c>
      <c r="L20" s="32">
        <v>1.25</v>
      </c>
      <c r="M20" s="32">
        <v>99.502134161435166</v>
      </c>
      <c r="N20" s="32">
        <f t="shared" si="1"/>
        <v>298.50640248430551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2"/>
        <v>23.5</v>
      </c>
      <c r="E21" s="29">
        <f t="shared" si="3"/>
        <v>152.5</v>
      </c>
      <c r="F21" s="36">
        <v>0.8</v>
      </c>
      <c r="G21" s="32">
        <f t="shared" si="4"/>
        <v>1707.8267102866189</v>
      </c>
      <c r="H21" s="32">
        <f t="shared" si="5"/>
        <v>43.259918524491326</v>
      </c>
      <c r="I21" s="32">
        <v>71457.017388780398</v>
      </c>
      <c r="J21" s="32">
        <f t="shared" si="0"/>
        <v>35728.508694390199</v>
      </c>
      <c r="K21" s="32">
        <v>325</v>
      </c>
      <c r="L21" s="32">
        <v>1.25</v>
      </c>
      <c r="M21" s="32">
        <v>119.09502898130067</v>
      </c>
      <c r="N21" s="32">
        <f t="shared" si="1"/>
        <v>357.285086943902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2"/>
        <v>24</v>
      </c>
      <c r="E22" s="29">
        <f t="shared" si="3"/>
        <v>160</v>
      </c>
      <c r="F22" s="36">
        <v>0.8</v>
      </c>
      <c r="G22" s="32">
        <f t="shared" si="4"/>
        <v>2032.9355181382102</v>
      </c>
      <c r="H22" s="32">
        <f t="shared" si="5"/>
        <v>48.553130621366982</v>
      </c>
      <c r="I22" s="32">
        <v>85387.565605704789</v>
      </c>
      <c r="J22" s="32">
        <f t="shared" si="0"/>
        <v>42693.782802852395</v>
      </c>
      <c r="K22" s="32">
        <v>325</v>
      </c>
      <c r="L22" s="32">
        <v>1.25</v>
      </c>
      <c r="M22" s="32">
        <v>142.31260934284131</v>
      </c>
      <c r="N22" s="32">
        <f t="shared" si="1"/>
        <v>426.93782802852394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2"/>
        <v>24.5</v>
      </c>
      <c r="E23" s="29">
        <f t="shared" si="3"/>
        <v>167.5</v>
      </c>
      <c r="F23" s="36">
        <v>0.8</v>
      </c>
      <c r="G23" s="32">
        <f t="shared" si="4"/>
        <v>2416.5639114030878</v>
      </c>
      <c r="H23" s="32">
        <f t="shared" si="5"/>
        <v>54.359784291639578</v>
      </c>
      <c r="I23" s="32">
        <v>101895.26524276017</v>
      </c>
      <c r="J23" s="32">
        <f t="shared" si="0"/>
        <v>50947.632621380086</v>
      </c>
      <c r="K23" s="32">
        <v>325</v>
      </c>
      <c r="L23" s="32">
        <v>1.25</v>
      </c>
      <c r="M23" s="32">
        <v>169.82544207126696</v>
      </c>
      <c r="N23" s="32">
        <f t="shared" si="1"/>
        <v>509.47632621380086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2"/>
        <v>25</v>
      </c>
      <c r="E24" s="29">
        <f t="shared" si="3"/>
        <v>175</v>
      </c>
      <c r="F24" s="36">
        <v>0.8</v>
      </c>
      <c r="G24" s="32">
        <f t="shared" si="4"/>
        <v>2869.2454154556435</v>
      </c>
      <c r="H24" s="32">
        <f t="shared" si="5"/>
        <v>60.729683367928615</v>
      </c>
      <c r="I24" s="32">
        <v>101214.07442722569</v>
      </c>
      <c r="J24" s="32">
        <f t="shared" si="0"/>
        <v>50607.037213612843</v>
      </c>
      <c r="K24" s="32">
        <v>325</v>
      </c>
      <c r="L24" s="32">
        <v>1.25</v>
      </c>
      <c r="M24" s="32">
        <v>202.42814885445136</v>
      </c>
      <c r="N24" s="32">
        <f t="shared" si="1"/>
        <v>506.07037213612841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2"/>
        <v>25.5</v>
      </c>
      <c r="E25" s="29">
        <f t="shared" si="3"/>
        <v>182.5</v>
      </c>
      <c r="F25" s="36">
        <v>0.8</v>
      </c>
      <c r="G25" s="32">
        <f t="shared" si="4"/>
        <v>3403.4095902376594</v>
      </c>
      <c r="H25" s="32">
        <f t="shared" si="5"/>
        <v>67.717462654617691</v>
      </c>
      <c r="I25" s="32">
        <v>120531.17819626242</v>
      </c>
      <c r="J25" s="32">
        <f t="shared" si="0"/>
        <v>60265.589098131211</v>
      </c>
      <c r="K25" s="32">
        <v>325</v>
      </c>
      <c r="L25" s="32">
        <v>1.25</v>
      </c>
      <c r="M25" s="32">
        <v>241.06235639252486</v>
      </c>
      <c r="N25" s="32">
        <f t="shared" si="1"/>
        <v>602.65589098131215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2"/>
        <v>26</v>
      </c>
      <c r="E26" s="29">
        <f t="shared" si="3"/>
        <v>190</v>
      </c>
      <c r="F26" s="36">
        <v>0.8</v>
      </c>
      <c r="G26" s="32">
        <f t="shared" si="4"/>
        <v>4033.7233164804379</v>
      </c>
      <c r="H26" s="32">
        <f t="shared" si="5"/>
        <v>75.383056532115603</v>
      </c>
      <c r="I26" s="32">
        <v>143421.946162571</v>
      </c>
      <c r="J26" s="32">
        <f t="shared" si="0"/>
        <v>71710.973081285498</v>
      </c>
      <c r="K26" s="32">
        <v>325</v>
      </c>
      <c r="L26" s="32">
        <v>1.25</v>
      </c>
      <c r="M26" s="32">
        <v>286.84389232514195</v>
      </c>
      <c r="N26" s="32">
        <f t="shared" si="1"/>
        <v>717.10973081285499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2"/>
        <v>26.5</v>
      </c>
      <c r="E27" s="29">
        <f t="shared" si="3"/>
        <v>197.5</v>
      </c>
      <c r="F27" s="36">
        <v>0.8</v>
      </c>
      <c r="G27" s="32">
        <f t="shared" si="4"/>
        <v>4777.493513446916</v>
      </c>
      <c r="H27" s="32">
        <f t="shared" si="5"/>
        <v>83.792213015730809</v>
      </c>
      <c r="I27" s="32">
        <v>170547.50620264662</v>
      </c>
      <c r="J27" s="32">
        <f t="shared" si="0"/>
        <v>85273.753101323309</v>
      </c>
      <c r="K27" s="32">
        <v>325</v>
      </c>
      <c r="L27" s="32">
        <v>1.25</v>
      </c>
      <c r="M27" s="32">
        <v>341.09501240529323</v>
      </c>
      <c r="N27" s="32">
        <f t="shared" si="1"/>
        <v>852.73753101323314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2"/>
        <v>27</v>
      </c>
      <c r="E28" s="29">
        <f t="shared" si="3"/>
        <v>205</v>
      </c>
      <c r="F28" s="36">
        <v>0.8</v>
      </c>
      <c r="G28" s="32">
        <f t="shared" si="4"/>
        <v>5655.1423458673607</v>
      </c>
      <c r="H28" s="32">
        <f t="shared" si="5"/>
        <v>93.017057678256691</v>
      </c>
      <c r="I28" s="32">
        <v>202691.29485013627</v>
      </c>
      <c r="J28" s="32">
        <f t="shared" si="0"/>
        <v>101345.64742506813</v>
      </c>
      <c r="K28" s="32">
        <v>325</v>
      </c>
      <c r="L28" s="32">
        <v>1.25</v>
      </c>
      <c r="M28" s="32">
        <v>405.38258970027255</v>
      </c>
      <c r="N28" s="32">
        <f t="shared" si="1"/>
        <v>1013.4564742506814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2"/>
        <v>27.5</v>
      </c>
      <c r="E29" s="29">
        <f t="shared" si="3"/>
        <v>212.5</v>
      </c>
      <c r="F29" s="36">
        <v>0.8</v>
      </c>
      <c r="G29" s="32">
        <f t="shared" si="4"/>
        <v>6690.7679681234849</v>
      </c>
      <c r="H29" s="32">
        <f t="shared" si="5"/>
        <v>103.13671227304759</v>
      </c>
      <c r="I29" s="32">
        <v>192625.34751792919</v>
      </c>
      <c r="J29" s="32">
        <f t="shared" si="0"/>
        <v>96312.673758964593</v>
      </c>
      <c r="K29" s="32">
        <v>325</v>
      </c>
      <c r="L29" s="32">
        <v>1.25</v>
      </c>
      <c r="M29" s="32">
        <v>481.56336879482296</v>
      </c>
      <c r="N29" s="32">
        <f t="shared" si="1"/>
        <v>963.12673758964593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2"/>
        <v>28</v>
      </c>
      <c r="E30" s="29">
        <f t="shared" si="3"/>
        <v>220</v>
      </c>
      <c r="F30" s="36">
        <v>0.8</v>
      </c>
      <c r="G30" s="32">
        <f t="shared" si="4"/>
        <v>7912.8062023857119</v>
      </c>
      <c r="H30" s="32">
        <f t="shared" si="5"/>
        <v>114.2379733635332</v>
      </c>
      <c r="I30" s="32">
        <v>228735.03680874608</v>
      </c>
      <c r="J30" s="32">
        <f t="shared" si="0"/>
        <v>114367.51840437304</v>
      </c>
      <c r="K30" s="32">
        <v>325</v>
      </c>
      <c r="L30" s="32">
        <v>1.25</v>
      </c>
      <c r="M30" s="32">
        <v>571.83759202186525</v>
      </c>
      <c r="N30" s="32">
        <f t="shared" si="1"/>
        <v>1143.6751840437305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2"/>
        <v>28.5</v>
      </c>
      <c r="E31" s="29">
        <f t="shared" si="3"/>
        <v>227.5</v>
      </c>
      <c r="F31" s="36">
        <v>0.8</v>
      </c>
      <c r="G31" s="32">
        <f t="shared" si="4"/>
        <v>9354.8113188151401</v>
      </c>
      <c r="H31" s="32">
        <f t="shared" si="5"/>
        <v>126.41605677979592</v>
      </c>
      <c r="I31" s="32">
        <v>271525.01861836412</v>
      </c>
      <c r="J31" s="32">
        <f t="shared" si="0"/>
        <v>135762.50930918206</v>
      </c>
      <c r="K31" s="32">
        <v>325</v>
      </c>
      <c r="L31" s="32">
        <v>1.25</v>
      </c>
      <c r="M31" s="32">
        <v>678.81254654591032</v>
      </c>
      <c r="N31" s="32">
        <f t="shared" si="1"/>
        <v>1357.6250930918206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2"/>
        <v>29</v>
      </c>
      <c r="E32" s="29">
        <f t="shared" si="3"/>
        <v>235</v>
      </c>
      <c r="F32" s="36">
        <v>0.8</v>
      </c>
      <c r="G32" s="32">
        <f t="shared" si="4"/>
        <v>11056.377356201865</v>
      </c>
      <c r="H32" s="32">
        <f t="shared" si="5"/>
        <v>139.77541428743612</v>
      </c>
      <c r="I32" s="32">
        <v>322231.14706276148</v>
      </c>
      <c r="J32" s="32">
        <f t="shared" si="0"/>
        <v>161115.57353138074</v>
      </c>
      <c r="K32" s="32">
        <v>325</v>
      </c>
      <c r="L32" s="32">
        <v>1.25</v>
      </c>
      <c r="M32" s="32">
        <v>805.57786765690366</v>
      </c>
      <c r="N32" s="32">
        <f t="shared" si="1"/>
        <v>1611.1557353138073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2"/>
        <v>29.5</v>
      </c>
      <c r="E33" s="29">
        <f t="shared" si="3"/>
        <v>242.5</v>
      </c>
      <c r="F33" s="36">
        <v>0.8</v>
      </c>
      <c r="G33" s="32">
        <f t="shared" si="4"/>
        <v>13064.2252803182</v>
      </c>
      <c r="H33" s="32">
        <f t="shared" si="5"/>
        <v>154.43062947331742</v>
      </c>
      <c r="I33" s="32">
        <v>382317.90926937229</v>
      </c>
      <c r="J33" s="32">
        <f t="shared" si="0"/>
        <v>191158.95463468615</v>
      </c>
      <c r="K33" s="32">
        <v>325</v>
      </c>
      <c r="L33" s="32">
        <v>1.25</v>
      </c>
      <c r="M33" s="32">
        <v>955.79477317343094</v>
      </c>
      <c r="N33" s="32">
        <f t="shared" si="1"/>
        <v>1911.5895463468614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2"/>
        <v>30</v>
      </c>
      <c r="E34" s="29">
        <f t="shared" si="3"/>
        <v>250</v>
      </c>
      <c r="F34" s="36">
        <v>0.8</v>
      </c>
      <c r="G34" s="32">
        <f t="shared" si="4"/>
        <v>15433.485830775475</v>
      </c>
      <c r="H34" s="32">
        <f t="shared" si="5"/>
        <v>170.50740053222921</v>
      </c>
      <c r="I34" s="32">
        <v>340140.54186315468</v>
      </c>
      <c r="J34" s="32">
        <f t="shared" si="0"/>
        <v>170070.27093157734</v>
      </c>
      <c r="K34" s="32">
        <v>325</v>
      </c>
      <c r="L34" s="32">
        <v>1.25</v>
      </c>
      <c r="M34" s="32">
        <v>1133.8018062105157</v>
      </c>
      <c r="N34" s="32">
        <f t="shared" si="1"/>
        <v>1700.7027093157735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2"/>
        <v>30.5</v>
      </c>
      <c r="E35" s="29">
        <f t="shared" si="3"/>
        <v>257.5</v>
      </c>
      <c r="F35" s="36">
        <v>0.8</v>
      </c>
      <c r="G35" s="32">
        <f t="shared" si="4"/>
        <v>18229.21328031506</v>
      </c>
      <c r="H35" s="32">
        <f t="shared" si="5"/>
        <v>188.14361838385545</v>
      </c>
      <c r="I35" s="32">
        <v>403422.04210783832</v>
      </c>
      <c r="J35" s="32">
        <f t="shared" si="0"/>
        <v>201711.02105391916</v>
      </c>
      <c r="K35" s="32">
        <v>325</v>
      </c>
      <c r="L35" s="32">
        <v>1.25</v>
      </c>
      <c r="M35" s="32">
        <v>1344.7401403594611</v>
      </c>
      <c r="N35" s="32">
        <f t="shared" si="1"/>
        <v>2017.1102105391917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2"/>
        <v>31</v>
      </c>
      <c r="E36" s="29">
        <f t="shared" si="3"/>
        <v>265</v>
      </c>
      <c r="F36" s="36">
        <v>0.8</v>
      </c>
      <c r="G36" s="32">
        <f t="shared" si="4"/>
        <v>21528.171670771768</v>
      </c>
      <c r="H36" s="32">
        <f t="shared" si="5"/>
        <v>207.49054936708941</v>
      </c>
      <c r="I36" s="32">
        <v>478410.61989778845</v>
      </c>
      <c r="J36" s="32">
        <f t="shared" si="0"/>
        <v>239205.30994889422</v>
      </c>
      <c r="K36" s="32">
        <v>325</v>
      </c>
      <c r="L36" s="32">
        <v>1.25</v>
      </c>
      <c r="M36" s="32">
        <v>1594.7020663259616</v>
      </c>
      <c r="N36" s="32">
        <f t="shared" si="1"/>
        <v>2392.0530994889423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2"/>
        <v>31.5</v>
      </c>
      <c r="E37" s="29">
        <f t="shared" si="3"/>
        <v>272.5</v>
      </c>
      <c r="F37" s="36">
        <v>0.8</v>
      </c>
      <c r="G37" s="32">
        <f t="shared" si="4"/>
        <v>25420.942571510685</v>
      </c>
      <c r="H37" s="32">
        <f t="shared" si="5"/>
        <v>228.71413265569709</v>
      </c>
      <c r="I37" s="32">
        <v>567272.08457887929</v>
      </c>
      <c r="J37" s="32">
        <f t="shared" si="0"/>
        <v>283636.04228943965</v>
      </c>
      <c r="K37" s="32">
        <v>325</v>
      </c>
      <c r="L37" s="32">
        <v>1.25</v>
      </c>
      <c r="M37" s="32">
        <v>1890.9069485962646</v>
      </c>
      <c r="N37" s="32">
        <f t="shared" si="1"/>
        <v>2836.3604228943964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2"/>
        <v>32</v>
      </c>
      <c r="E38" s="29">
        <f t="shared" si="3"/>
        <v>280</v>
      </c>
      <c r="F38" s="36">
        <v>0.8</v>
      </c>
      <c r="G38" s="32">
        <f t="shared" si="4"/>
        <v>30014.412234382606</v>
      </c>
      <c r="H38" s="32">
        <f t="shared" si="5"/>
        <v>251.9964035232997</v>
      </c>
      <c r="I38" s="32">
        <v>672572.92022597196</v>
      </c>
      <c r="J38" s="32">
        <f t="shared" si="0"/>
        <v>336286.46011298598</v>
      </c>
      <c r="K38" s="32">
        <v>325</v>
      </c>
      <c r="L38" s="32">
        <v>1.25</v>
      </c>
      <c r="M38" s="32">
        <v>2241.9097340865733</v>
      </c>
      <c r="N38" s="32">
        <f t="shared" si="1"/>
        <v>3362.8646011298597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2"/>
        <v>32.5</v>
      </c>
      <c r="E39" s="29">
        <f t="shared" si="3"/>
        <v>287.5</v>
      </c>
      <c r="F39" s="36">
        <v>0.8</v>
      </c>
      <c r="G39" s="32">
        <f t="shared" si="4"/>
        <v>35434.706436571476</v>
      </c>
      <c r="H39" s="32">
        <f t="shared" si="5"/>
        <v>277.53705466505977</v>
      </c>
      <c r="I39" s="32">
        <v>531569.60697851784</v>
      </c>
      <c r="J39" s="32">
        <f t="shared" si="0"/>
        <v>265784.80348925892</v>
      </c>
      <c r="K39" s="32">
        <v>325</v>
      </c>
      <c r="L39" s="32">
        <v>1.25</v>
      </c>
      <c r="M39" s="32">
        <v>2657.8480348925891</v>
      </c>
      <c r="N39" s="32">
        <f t="shared" si="1"/>
        <v>2657.8480348925891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2"/>
        <v>33</v>
      </c>
      <c r="E40" s="29">
        <f t="shared" si="3"/>
        <v>295</v>
      </c>
      <c r="F40" s="36">
        <v>0.8</v>
      </c>
      <c r="G40" s="32">
        <f t="shared" si="4"/>
        <v>41830.653595154341</v>
      </c>
      <c r="H40" s="32">
        <f t="shared" si="5"/>
        <v>305.55514896757057</v>
      </c>
      <c r="I40" s="32">
        <v>630146.98426954367</v>
      </c>
      <c r="J40" s="32">
        <f t="shared" si="0"/>
        <v>315073.49213477183</v>
      </c>
      <c r="K40" s="32">
        <v>325</v>
      </c>
      <c r="L40" s="32">
        <v>1.25</v>
      </c>
      <c r="M40" s="32">
        <v>3150.7349213477182</v>
      </c>
      <c r="N40" s="32">
        <f t="shared" si="1"/>
        <v>3150.7349213477182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2"/>
        <v>33.5</v>
      </c>
      <c r="E41" s="29">
        <f t="shared" si="3"/>
        <v>302.5</v>
      </c>
      <c r="F41" s="36">
        <v>0.8</v>
      </c>
      <c r="G41" s="32">
        <f t="shared" si="4"/>
        <v>49377.871242282119</v>
      </c>
      <c r="H41" s="32">
        <f t="shared" si="5"/>
        <v>336.29099841742493</v>
      </c>
      <c r="I41" s="32">
        <v>746961.17635940912</v>
      </c>
      <c r="J41" s="32">
        <f t="shared" si="0"/>
        <v>373480.58817970456</v>
      </c>
      <c r="K41" s="32">
        <v>325</v>
      </c>
      <c r="L41" s="32">
        <v>1.25</v>
      </c>
      <c r="M41" s="32">
        <v>3734.8058817970464</v>
      </c>
      <c r="N41" s="32">
        <f t="shared" si="1"/>
        <v>3734.8058817970455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2"/>
        <v>34</v>
      </c>
      <c r="E42" s="29">
        <f t="shared" si="3"/>
        <v>310</v>
      </c>
      <c r="F42" s="36">
        <v>0.8</v>
      </c>
      <c r="G42" s="32">
        <f t="shared" si="4"/>
        <v>58283.588065892895</v>
      </c>
      <c r="H42" s="32">
        <f t="shared" si="5"/>
        <v>370.00822526391516</v>
      </c>
      <c r="I42" s="32">
        <v>885385.99398590007</v>
      </c>
      <c r="J42" s="32">
        <f t="shared" si="0"/>
        <v>442692.99699295004</v>
      </c>
      <c r="K42" s="32">
        <v>325</v>
      </c>
      <c r="L42" s="32">
        <v>1.25</v>
      </c>
      <c r="M42" s="32">
        <v>4426.9299699294997</v>
      </c>
      <c r="N42" s="32">
        <f t="shared" si="1"/>
        <v>4426.9299699295007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2"/>
        <v>34.5</v>
      </c>
      <c r="E43" s="29">
        <f t="shared" si="3"/>
        <v>317.5</v>
      </c>
      <c r="F43" s="36">
        <v>0.8</v>
      </c>
      <c r="G43" s="32">
        <f t="shared" si="4"/>
        <v>68792.333917753611</v>
      </c>
      <c r="H43" s="32">
        <f t="shared" si="5"/>
        <v>406.99602311451491</v>
      </c>
      <c r="I43" s="32">
        <v>1049419.4028732914</v>
      </c>
      <c r="J43" s="32">
        <f t="shared" si="0"/>
        <v>524709.7014366457</v>
      </c>
      <c r="K43" s="32">
        <v>325</v>
      </c>
      <c r="L43" s="32">
        <v>1.25</v>
      </c>
      <c r="M43" s="32">
        <v>5247.0970143664572</v>
      </c>
      <c r="N43" s="32">
        <f t="shared" si="1"/>
        <v>5247.0970143664572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2"/>
        <v>35</v>
      </c>
      <c r="E44" s="29">
        <f t="shared" si="3"/>
        <v>325</v>
      </c>
      <c r="F44" s="36">
        <v>0.8</v>
      </c>
      <c r="G44" s="32">
        <f t="shared" si="4"/>
        <v>81192.654022949253</v>
      </c>
      <c r="H44" s="32">
        <f t="shared" si="5"/>
        <v>447.57163735662283</v>
      </c>
      <c r="I44" s="32">
        <v>1243798.9924048504</v>
      </c>
      <c r="J44" s="32">
        <f t="shared" si="0"/>
        <v>621899.49620242522</v>
      </c>
      <c r="K44" s="32">
        <v>325</v>
      </c>
      <c r="L44" s="32">
        <v>1.25</v>
      </c>
      <c r="M44" s="32">
        <v>6218.9949620242523</v>
      </c>
      <c r="N44" s="32">
        <f t="shared" si="1"/>
        <v>6218.9949620242523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2"/>
        <v>35.5</v>
      </c>
      <c r="E45" s="29">
        <f t="shared" si="3"/>
        <v>332.5</v>
      </c>
      <c r="F45" s="36">
        <v>0.8</v>
      </c>
      <c r="G45" s="32">
        <f t="shared" si="4"/>
        <v>95825.031747080109</v>
      </c>
      <c r="H45" s="32">
        <f t="shared" si="5"/>
        <v>492.08308618021522</v>
      </c>
      <c r="I45" s="32">
        <v>1474138.8059997477</v>
      </c>
      <c r="J45" s="32">
        <f t="shared" si="0"/>
        <v>737069.40299987386</v>
      </c>
      <c r="K45" s="32">
        <v>325</v>
      </c>
      <c r="L45" s="32">
        <v>1.25</v>
      </c>
      <c r="M45" s="32">
        <v>7370.69402999874</v>
      </c>
      <c r="N45" s="32">
        <f t="shared" si="1"/>
        <v>7370.6940299987391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2"/>
        <v>36</v>
      </c>
      <c r="E46" s="29">
        <f t="shared" si="3"/>
        <v>340</v>
      </c>
      <c r="F46" s="36">
        <v>0.8</v>
      </c>
      <c r="G46" s="32">
        <f t="shared" si="4"/>
        <v>113091.23746155453</v>
      </c>
      <c r="H46" s="32">
        <f t="shared" si="5"/>
        <v>540.9121455396961</v>
      </c>
      <c r="I46" s="32">
        <v>1747091.4851097011</v>
      </c>
      <c r="J46" s="32">
        <f t="shared" si="0"/>
        <v>873545.74255485053</v>
      </c>
      <c r="K46" s="32">
        <v>325</v>
      </c>
      <c r="L46" s="32">
        <v>1.25</v>
      </c>
      <c r="M46" s="32">
        <v>8735.4574255485059</v>
      </c>
      <c r="N46" s="32">
        <f t="shared" si="1"/>
        <v>8735.4574255485059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2"/>
        <v>36.5</v>
      </c>
      <c r="E47" s="29">
        <f t="shared" si="3"/>
        <v>347.5</v>
      </c>
      <c r="F47" s="36">
        <v>0.8</v>
      </c>
      <c r="G47" s="32">
        <f t="shared" si="4"/>
        <v>133465.36020463434</v>
      </c>
      <c r="H47" s="32">
        <f t="shared" si="5"/>
        <v>594.47762365704659</v>
      </c>
      <c r="I47" s="32">
        <v>2070540.409854996</v>
      </c>
      <c r="J47" s="32">
        <f t="shared" si="0"/>
        <v>1035270.204927498</v>
      </c>
      <c r="K47" s="32">
        <v>325</v>
      </c>
      <c r="L47" s="32">
        <v>1.25</v>
      </c>
      <c r="M47" s="32">
        <v>10352.70204927498</v>
      </c>
      <c r="N47" s="32">
        <f t="shared" si="1"/>
        <v>10352.70204927498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2"/>
        <v>37</v>
      </c>
      <c r="E48" s="29">
        <f t="shared" si="3"/>
        <v>355</v>
      </c>
      <c r="F48" s="36">
        <v>0.8</v>
      </c>
      <c r="G48" s="32">
        <f t="shared" si="4"/>
        <v>157506.82504146852</v>
      </c>
      <c r="H48" s="32">
        <f t="shared" si="5"/>
        <v>653.23895315178015</v>
      </c>
      <c r="I48" s="32">
        <v>2453827.3856781702</v>
      </c>
      <c r="J48" s="32">
        <f t="shared" si="0"/>
        <v>1226913.6928390851</v>
      </c>
      <c r="K48" s="32">
        <v>325</v>
      </c>
      <c r="L48" s="32">
        <v>1.25</v>
      </c>
      <c r="M48" s="32">
        <v>12269.136928390852</v>
      </c>
      <c r="N48" s="32">
        <f t="shared" si="1"/>
        <v>12269.136928390852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2"/>
        <v>37.5</v>
      </c>
      <c r="E49" s="29">
        <f t="shared" si="3"/>
        <v>362.5</v>
      </c>
      <c r="F49" s="36">
        <v>0.8</v>
      </c>
      <c r="G49" s="32">
        <f t="shared" si="4"/>
        <v>185875.75354893284</v>
      </c>
      <c r="H49" s="32">
        <f t="shared" si="5"/>
        <v>717.70013160750284</v>
      </c>
      <c r="I49" s="32">
        <v>2908022.4520286317</v>
      </c>
      <c r="J49" s="32">
        <f t="shared" si="0"/>
        <v>1454011.2260143158</v>
      </c>
      <c r="K49" s="32">
        <v>325</v>
      </c>
      <c r="L49" s="32">
        <v>1.25</v>
      </c>
      <c r="M49" s="32">
        <v>14540.112260143158</v>
      </c>
      <c r="N49" s="32">
        <f t="shared" si="1"/>
        <v>14540.112260143158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2"/>
        <v>38</v>
      </c>
      <c r="E50" s="29">
        <f t="shared" si="3"/>
        <v>370</v>
      </c>
      <c r="F50" s="36">
        <v>0.8</v>
      </c>
      <c r="G50" s="32">
        <f t="shared" si="4"/>
        <v>219351.08918774076</v>
      </c>
      <c r="H50" s="32">
        <f t="shared" si="5"/>
        <v>788.41404437343056</v>
      </c>
      <c r="I50" s="32">
        <v>3446243.6056539286</v>
      </c>
      <c r="J50" s="32">
        <f t="shared" si="0"/>
        <v>1723121.8028269643</v>
      </c>
      <c r="K50" s="32">
        <v>325</v>
      </c>
      <c r="L50" s="32">
        <v>1.25</v>
      </c>
      <c r="M50" s="32">
        <v>17231.218028269643</v>
      </c>
      <c r="N50" s="32">
        <f t="shared" si="1"/>
        <v>17231.218028269643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2"/>
        <v>38.5</v>
      </c>
      <c r="E51" s="29">
        <f t="shared" si="3"/>
        <v>377.5</v>
      </c>
      <c r="F51" s="36">
        <v>0.8</v>
      </c>
      <c r="G51" s="32">
        <f t="shared" si="4"/>
        <v>258851.98524153407</v>
      </c>
      <c r="H51" s="32">
        <f t="shared" si="5"/>
        <v>865.98720667765326</v>
      </c>
      <c r="I51" s="32">
        <v>4084035.6726999055</v>
      </c>
      <c r="J51" s="32">
        <f t="shared" si="0"/>
        <v>2042017.8363499527</v>
      </c>
      <c r="K51" s="32">
        <v>325</v>
      </c>
      <c r="L51" s="32">
        <v>1.25</v>
      </c>
      <c r="M51" s="32">
        <v>20420.178363499526</v>
      </c>
      <c r="N51" s="32">
        <f t="shared" si="1"/>
        <v>20420.178363499526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2"/>
        <v>39</v>
      </c>
      <c r="E52" s="29">
        <f t="shared" si="3"/>
        <v>385</v>
      </c>
      <c r="F52" s="36">
        <v>0.8</v>
      </c>
      <c r="G52" s="32">
        <f t="shared" si="4"/>
        <v>305463.04258501017</v>
      </c>
      <c r="H52" s="32">
        <f t="shared" si="5"/>
        <v>951.08496572538559</v>
      </c>
      <c r="I52" s="32">
        <v>4839819.2721493877</v>
      </c>
      <c r="J52" s="32">
        <f t="shared" si="0"/>
        <v>2419909.6360746939</v>
      </c>
      <c r="K52" s="32">
        <v>325</v>
      </c>
      <c r="L52" s="32">
        <v>1.25</v>
      </c>
      <c r="M52" s="32">
        <v>24199.096360746938</v>
      </c>
      <c r="N52" s="32">
        <f t="shared" si="1"/>
        <v>24199.096360746938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2"/>
        <v>39.5</v>
      </c>
      <c r="E53" s="29">
        <f t="shared" si="3"/>
        <v>392.5</v>
      </c>
      <c r="F53" s="36">
        <v>0.8</v>
      </c>
      <c r="G53" s="32">
        <f t="shared" si="4"/>
        <v>360464.090250312</v>
      </c>
      <c r="H53" s="32">
        <f t="shared" si="5"/>
        <v>1044.4372074007479</v>
      </c>
      <c r="I53" s="32">
        <v>5735422.8374970248</v>
      </c>
      <c r="J53" s="32">
        <f t="shared" si="0"/>
        <v>2867711.4187485124</v>
      </c>
      <c r="K53" s="32">
        <v>325</v>
      </c>
      <c r="L53" s="32">
        <v>1.25</v>
      </c>
      <c r="M53" s="32">
        <v>28677.114187485124</v>
      </c>
      <c r="N53" s="32">
        <f t="shared" si="1"/>
        <v>28677.114187485124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2"/>
        <v>40</v>
      </c>
      <c r="E54" s="29">
        <f t="shared" si="3"/>
        <v>400</v>
      </c>
      <c r="F54" s="36">
        <v>0.8</v>
      </c>
      <c r="G54" s="32">
        <f t="shared" si="4"/>
        <v>425365.32649536815</v>
      </c>
      <c r="H54" s="32">
        <f t="shared" si="5"/>
        <v>1146.8446165186203</v>
      </c>
      <c r="I54" s="32">
        <v>6796713.0624339757</v>
      </c>
      <c r="J54" s="32">
        <f t="shared" si="0"/>
        <v>3398356.5312169879</v>
      </c>
      <c r="K54" s="32">
        <v>325</v>
      </c>
      <c r="L54" s="32">
        <v>1.25</v>
      </c>
      <c r="M54" s="32">
        <v>33983.565312169878</v>
      </c>
      <c r="N54" s="32">
        <f t="shared" si="1"/>
        <v>33983.565312169878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2"/>
        <v>40.5</v>
      </c>
      <c r="E55" s="29">
        <f t="shared" si="3"/>
        <v>407.5</v>
      </c>
      <c r="F55" s="36">
        <v>0.8</v>
      </c>
      <c r="G55" s="32">
        <f t="shared" si="4"/>
        <v>501948.78526453441</v>
      </c>
      <c r="H55" s="32">
        <f t="shared" si="5"/>
        <v>1259.1855443209265</v>
      </c>
      <c r="I55" s="32">
        <v>8054341.9789842619</v>
      </c>
      <c r="J55" s="32">
        <f t="shared" si="0"/>
        <v>4027170.9894921309</v>
      </c>
      <c r="K55" s="32">
        <v>325</v>
      </c>
      <c r="L55" s="32">
        <v>1.25</v>
      </c>
      <c r="M55" s="32">
        <v>40271.709894921303</v>
      </c>
      <c r="N55" s="32">
        <f t="shared" si="1"/>
        <v>40271.70989492131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2"/>
        <v>41</v>
      </c>
      <c r="E56" s="29">
        <f t="shared" si="3"/>
        <v>415</v>
      </c>
      <c r="F56" s="36">
        <v>0.8</v>
      </c>
      <c r="G56" s="32">
        <f t="shared" si="4"/>
        <v>592317.26661215059</v>
      </c>
      <c r="H56" s="32">
        <f t="shared" si="5"/>
        <v>1382.4235421200563</v>
      </c>
      <c r="I56" s="32">
        <v>9544632.2450963501</v>
      </c>
      <c r="J56" s="32">
        <f t="shared" si="0"/>
        <v>4772316.122548175</v>
      </c>
      <c r="K56" s="32">
        <v>325</v>
      </c>
      <c r="L56" s="32">
        <v>1.25</v>
      </c>
      <c r="M56" s="32">
        <v>47723.161225481752</v>
      </c>
      <c r="N56" s="32">
        <f t="shared" si="1"/>
        <v>47723.161225481752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2"/>
        <v>41.5</v>
      </c>
      <c r="E57" s="29">
        <f t="shared" si="3"/>
        <v>422.5</v>
      </c>
      <c r="F57" s="36">
        <v>0.8</v>
      </c>
      <c r="G57" s="32">
        <f t="shared" si="4"/>
        <v>698952.07460233767</v>
      </c>
      <c r="H57" s="32">
        <f t="shared" si="5"/>
        <v>1517.6156257057016</v>
      </c>
      <c r="I57" s="32">
        <v>11310626.210439175</v>
      </c>
      <c r="J57" s="32">
        <f t="shared" si="0"/>
        <v>5655313.1052195877</v>
      </c>
      <c r="K57" s="32">
        <v>325</v>
      </c>
      <c r="L57" s="32">
        <v>1.25</v>
      </c>
      <c r="M57" s="32">
        <v>56553.13105219588</v>
      </c>
      <c r="N57" s="32">
        <f t="shared" si="1"/>
        <v>56553.13105219588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2"/>
        <v>42</v>
      </c>
      <c r="E58" s="29">
        <f t="shared" si="3"/>
        <v>430</v>
      </c>
      <c r="F58" s="36">
        <v>0.8</v>
      </c>
      <c r="G58" s="32">
        <f t="shared" si="4"/>
        <v>824781.14803075837</v>
      </c>
      <c r="H58" s="32">
        <f t="shared" si="5"/>
        <v>1665.9213413991547</v>
      </c>
      <c r="I58" s="32">
        <v>13403329.059370423</v>
      </c>
      <c r="J58" s="32">
        <f t="shared" si="0"/>
        <v>6701664.5296852114</v>
      </c>
      <c r="K58" s="32">
        <v>325</v>
      </c>
      <c r="L58" s="32">
        <v>1.25</v>
      </c>
      <c r="M58" s="32">
        <v>67016.645296852119</v>
      </c>
      <c r="N58" s="32">
        <f t="shared" si="1"/>
        <v>67016.645296852119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2"/>
        <v>42.5</v>
      </c>
      <c r="E59" s="29">
        <f t="shared" si="3"/>
        <v>437.5</v>
      </c>
      <c r="F59" s="36">
        <v>0.8</v>
      </c>
      <c r="G59" s="32">
        <f t="shared" si="4"/>
        <v>973259.45467629482</v>
      </c>
      <c r="H59" s="32">
        <f t="shared" si="5"/>
        <v>1828.6127115148727</v>
      </c>
      <c r="I59" s="32">
        <v>15883181.935353952</v>
      </c>
      <c r="J59" s="32">
        <f t="shared" si="0"/>
        <v>7941590.9676769758</v>
      </c>
      <c r="K59" s="32">
        <v>325</v>
      </c>
      <c r="L59" s="32">
        <v>1.25</v>
      </c>
      <c r="M59" s="32">
        <v>79415.909676769763</v>
      </c>
      <c r="N59" s="32">
        <f t="shared" si="1"/>
        <v>79415.909676769763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2"/>
        <v>43</v>
      </c>
      <c r="E60" s="29">
        <f t="shared" si="3"/>
        <v>445</v>
      </c>
      <c r="F60" s="36">
        <v>0.8</v>
      </c>
      <c r="G60" s="32">
        <f t="shared" si="4"/>
        <v>1148463.8565180278</v>
      </c>
      <c r="H60" s="32">
        <f t="shared" si="5"/>
        <v>2007.0851445318153</v>
      </c>
      <c r="I60" s="32">
        <v>18821807.593394432</v>
      </c>
      <c r="J60" s="32">
        <f t="shared" si="0"/>
        <v>9410903.7966972161</v>
      </c>
      <c r="K60" s="32">
        <v>325</v>
      </c>
      <c r="L60" s="32">
        <v>1.25</v>
      </c>
      <c r="M60" s="32">
        <v>94109.037966972159</v>
      </c>
      <c r="N60" s="32">
        <f t="shared" si="1"/>
        <v>94109.037966972159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2"/>
        <v>43.5</v>
      </c>
      <c r="E61" s="29">
        <f t="shared" si="3"/>
        <v>452.5</v>
      </c>
      <c r="F61" s="36">
        <v>0.8</v>
      </c>
      <c r="G61" s="32">
        <f t="shared" si="4"/>
        <v>1355205.0506912728</v>
      </c>
      <c r="H61" s="32">
        <f t="shared" si="5"/>
        <v>2202.8694035514013</v>
      </c>
      <c r="I61" s="32">
        <v>22304078.998172402</v>
      </c>
      <c r="J61" s="32">
        <f t="shared" si="0"/>
        <v>11152039.499086201</v>
      </c>
      <c r="K61" s="32">
        <v>325</v>
      </c>
      <c r="L61" s="32">
        <v>1.25</v>
      </c>
      <c r="M61" s="32">
        <v>111520.39499086201</v>
      </c>
      <c r="N61" s="32">
        <f t="shared" si="1"/>
        <v>111520.39499086201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2"/>
        <v>44</v>
      </c>
      <c r="E62" s="29">
        <f t="shared" si="3"/>
        <v>460</v>
      </c>
      <c r="F62" s="36">
        <v>0.8</v>
      </c>
      <c r="G62" s="32">
        <f t="shared" si="4"/>
        <v>1599159.6598157019</v>
      </c>
      <c r="H62" s="32">
        <f t="shared" si="5"/>
        <v>2417.644735695887</v>
      </c>
      <c r="I62" s="32">
        <v>26430570.612834293</v>
      </c>
      <c r="J62" s="32">
        <f t="shared" si="0"/>
        <v>13215285.306417147</v>
      </c>
      <c r="K62" s="32">
        <v>325</v>
      </c>
      <c r="L62" s="32">
        <v>1.25</v>
      </c>
      <c r="M62" s="32">
        <v>132152.85306417148</v>
      </c>
      <c r="N62" s="32">
        <f t="shared" si="1"/>
        <v>132152.85306417148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2"/>
        <v>44.5</v>
      </c>
      <c r="E63" s="29">
        <f t="shared" si="3"/>
        <v>467.5</v>
      </c>
      <c r="F63" s="36">
        <v>0.8</v>
      </c>
      <c r="G63" s="32">
        <f t="shared" si="4"/>
        <v>1887026.0985825281</v>
      </c>
      <c r="H63" s="32">
        <f t="shared" si="5"/>
        <v>2653.2532750583878</v>
      </c>
      <c r="I63" s="32">
        <v>31320463.176208645</v>
      </c>
      <c r="J63" s="32">
        <f t="shared" si="0"/>
        <v>15660231.588104323</v>
      </c>
      <c r="K63" s="32">
        <v>325</v>
      </c>
      <c r="L63" s="32">
        <v>1.25</v>
      </c>
      <c r="M63" s="32">
        <v>156602.31588104324</v>
      </c>
      <c r="N63" s="32">
        <f t="shared" si="1"/>
        <v>156602.31588104324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6">E63+5</f>
        <v>472.5</v>
      </c>
      <c r="F64" s="26">
        <v>100</v>
      </c>
      <c r="G64" s="25">
        <f>G13*7.5</f>
        <v>2866.3062605604532</v>
      </c>
      <c r="H64" s="25">
        <f t="shared" ref="H64:J64" si="7">H13*7.5</f>
        <v>110.32468291472946</v>
      </c>
      <c r="I64" s="25">
        <f t="shared" si="7"/>
        <v>155231.91492749599</v>
      </c>
      <c r="J64" s="25">
        <f t="shared" si="7"/>
        <v>77615.957463747996</v>
      </c>
      <c r="K64" s="25">
        <v>325</v>
      </c>
      <c r="L64" s="25">
        <v>1</v>
      </c>
      <c r="M64" s="32">
        <v>194.03989365936999</v>
      </c>
      <c r="N64" s="32">
        <f t="shared" si="1"/>
        <v>776.15957463747998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6"/>
        <v>477.5</v>
      </c>
      <c r="F65" s="26">
        <v>100</v>
      </c>
      <c r="G65" s="25">
        <f>G23*7.5</f>
        <v>18124.22933552316</v>
      </c>
      <c r="H65" s="25">
        <f t="shared" ref="H65:J65" si="8">H23*7.5</f>
        <v>407.69838218729683</v>
      </c>
      <c r="I65" s="25">
        <f t="shared" si="8"/>
        <v>764214.48932070134</v>
      </c>
      <c r="J65" s="25">
        <f t="shared" si="8"/>
        <v>382107.24466035067</v>
      </c>
      <c r="K65" s="25">
        <v>325</v>
      </c>
      <c r="L65" s="25">
        <v>1</v>
      </c>
      <c r="M65" s="32">
        <v>1273.6908155345022</v>
      </c>
      <c r="N65" s="32">
        <f t="shared" si="1"/>
        <v>3821.0724466035067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6"/>
        <v>482.5</v>
      </c>
      <c r="F66" s="26">
        <v>100</v>
      </c>
      <c r="G66" s="25">
        <f>G33*7.5</f>
        <v>97981.689602386497</v>
      </c>
      <c r="H66" s="25">
        <f t="shared" ref="H66:J66" si="9">H33*7.5</f>
        <v>1158.2297210498807</v>
      </c>
      <c r="I66" s="25">
        <f t="shared" si="9"/>
        <v>2867384.3195202923</v>
      </c>
      <c r="J66" s="25">
        <f t="shared" si="9"/>
        <v>1433692.1597601462</v>
      </c>
      <c r="K66" s="25">
        <v>325</v>
      </c>
      <c r="L66" s="25">
        <v>1</v>
      </c>
      <c r="M66" s="32">
        <v>7168.4607988007319</v>
      </c>
      <c r="N66" s="32">
        <f t="shared" si="1"/>
        <v>14336.921597601462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0">D66+267</f>
        <v>1447</v>
      </c>
      <c r="E67" s="29">
        <f t="shared" si="6"/>
        <v>487.5</v>
      </c>
      <c r="F67" s="26">
        <v>100</v>
      </c>
      <c r="G67" s="25">
        <f>G43*7.5</f>
        <v>515942.50438315206</v>
      </c>
      <c r="H67" s="25">
        <f t="shared" ref="H67:J67" si="11">H43*7.5</f>
        <v>3052.4701733588618</v>
      </c>
      <c r="I67" s="25">
        <f t="shared" si="11"/>
        <v>7870645.5215496859</v>
      </c>
      <c r="J67" s="25">
        <f t="shared" si="11"/>
        <v>3935322.7607748429</v>
      </c>
      <c r="K67" s="25">
        <v>325</v>
      </c>
      <c r="L67" s="25">
        <v>1</v>
      </c>
      <c r="M67" s="32">
        <v>39353.227607748428</v>
      </c>
      <c r="N67" s="32">
        <f t="shared" si="1"/>
        <v>39353.227607748428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0"/>
        <v>1714</v>
      </c>
      <c r="E68" s="29">
        <f t="shared" si="6"/>
        <v>492.5</v>
      </c>
      <c r="F68" s="26">
        <v>100</v>
      </c>
      <c r="G68" s="25">
        <f>G53*7.5</f>
        <v>2703480.6768773398</v>
      </c>
      <c r="H68" s="25">
        <f t="shared" ref="H68:J68" si="12">H53*7.5</f>
        <v>7833.279055505609</v>
      </c>
      <c r="I68" s="25">
        <f t="shared" si="12"/>
        <v>43015671.281227686</v>
      </c>
      <c r="J68" s="25">
        <f t="shared" si="12"/>
        <v>21507835.640613843</v>
      </c>
      <c r="K68" s="25">
        <v>325</v>
      </c>
      <c r="L68" s="25">
        <v>1</v>
      </c>
      <c r="M68" s="32">
        <v>215078.35640613842</v>
      </c>
      <c r="N68" s="32">
        <f t="shared" si="1"/>
        <v>215078.35640613842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0"/>
        <v>1981</v>
      </c>
      <c r="E69" s="29">
        <f t="shared" si="6"/>
        <v>497.5</v>
      </c>
      <c r="F69" s="26">
        <v>100</v>
      </c>
      <c r="G69" s="25">
        <f>G63*7.5</f>
        <v>14152695.73936896</v>
      </c>
      <c r="H69" s="25">
        <f t="shared" ref="H69:J69" si="13">H63*7.5</f>
        <v>19899.39956293791</v>
      </c>
      <c r="I69" s="25">
        <f t="shared" si="13"/>
        <v>234903473.82156485</v>
      </c>
      <c r="J69" s="25">
        <f t="shared" si="13"/>
        <v>117451736.91078243</v>
      </c>
      <c r="K69" s="25">
        <v>325</v>
      </c>
      <c r="L69" s="25">
        <v>1</v>
      </c>
      <c r="M69" s="32">
        <v>1174517.3691078243</v>
      </c>
      <c r="N69" s="32">
        <f t="shared" ref="N69" si="14">J69*0.01</f>
        <v>1174517.3691078243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5">H69*1.25</f>
        <v>24874.249453672386</v>
      </c>
      <c r="I76" s="25">
        <f t="shared" si="15"/>
        <v>293629342.27695608</v>
      </c>
      <c r="J76" s="25">
        <f t="shared" si="15"/>
        <v>146814671.13847804</v>
      </c>
      <c r="K76" s="25">
        <v>400</v>
      </c>
      <c r="L76" s="32">
        <v>1</v>
      </c>
      <c r="M76" s="32">
        <v>1468146.7113847805</v>
      </c>
      <c r="N76" s="32">
        <f t="shared" ref="N76:N77" si="16">J76*0.01</f>
        <v>1468146.7113847805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17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18">H69*0.95</f>
        <v>18904.429584791014</v>
      </c>
      <c r="I77" s="37">
        <f t="shared" si="18"/>
        <v>223158300.13048661</v>
      </c>
      <c r="J77" s="37">
        <f t="shared" si="18"/>
        <v>111579150.0652433</v>
      </c>
      <c r="K77" s="25">
        <v>325</v>
      </c>
      <c r="L77" s="32">
        <v>1</v>
      </c>
      <c r="M77" s="32">
        <v>1115791.5006524331</v>
      </c>
      <c r="N77" s="32">
        <f t="shared" si="16"/>
        <v>1115791.5006524331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2019-04-26T11:16:53Z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