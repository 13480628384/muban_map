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0FD2282B-64A3-41C4-BC38-B6A42FA4697E}" xr6:coauthVersionLast="43" xr6:coauthVersionMax="43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D5" i="30" l="1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E76" i="30" s="1"/>
  <c r="M4" i="30"/>
  <c r="J4" i="30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H77" i="30" l="1"/>
  <c r="H76" i="30"/>
  <c r="G76" i="30"/>
  <c r="G77" i="30"/>
  <c r="H74" i="30"/>
  <c r="H66" i="30"/>
  <c r="G64" i="30"/>
  <c r="H75" i="30"/>
  <c r="H70" i="30"/>
  <c r="H71" i="30"/>
  <c r="H72" i="30"/>
  <c r="H73" i="30"/>
  <c r="D64" i="30"/>
  <c r="H68" i="30"/>
  <c r="H64" i="30"/>
  <c r="G66" i="30"/>
  <c r="H65" i="30"/>
  <c r="G67" i="30"/>
  <c r="G65" i="30"/>
  <c r="H67" i="30"/>
  <c r="G68" i="30"/>
  <c r="M6" i="30"/>
  <c r="I7" i="30"/>
  <c r="M5" i="30"/>
  <c r="D65" i="30" l="1"/>
  <c r="E75" i="30"/>
  <c r="E74" i="30"/>
  <c r="M7" i="30"/>
  <c r="I8" i="30"/>
  <c r="D66" i="30" l="1"/>
  <c r="D67" i="30" s="1"/>
  <c r="D68" i="30" s="1"/>
  <c r="D69" i="30" s="1"/>
  <c r="D76" i="30" s="1"/>
  <c r="D77" i="30" s="1"/>
  <c r="E73" i="30"/>
  <c r="I9" i="30"/>
  <c r="M8" i="30"/>
  <c r="E72" i="30" l="1"/>
  <c r="I10" i="30"/>
  <c r="M9" i="30"/>
  <c r="E71" i="30" l="1"/>
  <c r="I11" i="30"/>
  <c r="M10" i="30"/>
  <c r="N4" i="30"/>
  <c r="E70" i="30" l="1"/>
  <c r="I12" i="30"/>
  <c r="M11" i="30"/>
  <c r="J5" i="30"/>
  <c r="N5" i="30" s="1"/>
  <c r="I13" i="30" l="1"/>
  <c r="I64" i="30" s="1"/>
  <c r="M64" i="30" s="1"/>
  <c r="M12" i="30"/>
  <c r="J6" i="30"/>
  <c r="N6" i="30" s="1"/>
  <c r="J7" i="30"/>
  <c r="N7" i="30" s="1"/>
  <c r="I14" i="30" l="1"/>
  <c r="M13" i="30"/>
  <c r="J8" i="30"/>
  <c r="N8" i="30" s="1"/>
  <c r="I15" i="30" l="1"/>
  <c r="M14" i="30"/>
  <c r="J9" i="30"/>
  <c r="N9" i="30" s="1"/>
  <c r="I16" i="30" l="1"/>
  <c r="M15" i="30"/>
  <c r="J10" i="30"/>
  <c r="N10" i="30" s="1"/>
  <c r="I17" i="30" l="1"/>
  <c r="M16" i="30"/>
  <c r="J11" i="30"/>
  <c r="N11" i="30" s="1"/>
  <c r="I18" i="30" l="1"/>
  <c r="M17" i="30"/>
  <c r="J12" i="30"/>
  <c r="N12" i="30" s="1"/>
  <c r="I19" i="30" l="1"/>
  <c r="M18" i="30"/>
  <c r="J13" i="30"/>
  <c r="N13" i="30" l="1"/>
  <c r="J64" i="30"/>
  <c r="N64" i="30" s="1"/>
  <c r="I20" i="30"/>
  <c r="M19" i="30"/>
  <c r="J14" i="30"/>
  <c r="N14" i="30" s="1"/>
  <c r="I21" i="30" l="1"/>
  <c r="M20" i="30"/>
  <c r="J15" i="30"/>
  <c r="N15" i="30" s="1"/>
  <c r="I22" i="30" l="1"/>
  <c r="M21" i="30"/>
  <c r="J16" i="30"/>
  <c r="N16" i="30" s="1"/>
  <c r="I23" i="30" l="1"/>
  <c r="I65" i="30" s="1"/>
  <c r="M65" i="30" s="1"/>
  <c r="M22" i="30"/>
  <c r="J17" i="30"/>
  <c r="N17" i="30" s="1"/>
  <c r="I24" i="30" l="1"/>
  <c r="M23" i="30"/>
  <c r="J18" i="30"/>
  <c r="N18" i="30" s="1"/>
  <c r="I25" i="30" l="1"/>
  <c r="M24" i="30"/>
  <c r="J19" i="30"/>
  <c r="N19" i="30" s="1"/>
  <c r="I26" i="30" l="1"/>
  <c r="M25" i="30"/>
  <c r="J20" i="30"/>
  <c r="N20" i="30" s="1"/>
  <c r="I27" i="30" l="1"/>
  <c r="M26" i="30"/>
  <c r="J21" i="30"/>
  <c r="N21" i="30" s="1"/>
  <c r="I28" i="30" l="1"/>
  <c r="M27" i="30"/>
  <c r="J22" i="30"/>
  <c r="N22" i="30" s="1"/>
  <c r="I29" i="30" l="1"/>
  <c r="M28" i="30"/>
  <c r="J23" i="30"/>
  <c r="N23" i="30" l="1"/>
  <c r="J65" i="30"/>
  <c r="N65" i="30" s="1"/>
  <c r="I30" i="30"/>
  <c r="M29" i="30"/>
  <c r="J24" i="30"/>
  <c r="N24" i="30" s="1"/>
  <c r="I31" i="30" l="1"/>
  <c r="M30" i="30"/>
  <c r="J25" i="30"/>
  <c r="N25" i="30" s="1"/>
  <c r="I32" i="30" l="1"/>
  <c r="M31" i="30"/>
  <c r="J26" i="30"/>
  <c r="N26" i="30" s="1"/>
  <c r="I33" i="30" l="1"/>
  <c r="I66" i="30" s="1"/>
  <c r="M66" i="30" s="1"/>
  <c r="M32" i="30"/>
  <c r="J27" i="30"/>
  <c r="N27" i="30" s="1"/>
  <c r="I34" i="30" l="1"/>
  <c r="M33" i="30"/>
  <c r="J28" i="30"/>
  <c r="N28" i="30" s="1"/>
  <c r="I35" i="30" l="1"/>
  <c r="M34" i="30"/>
  <c r="J29" i="30"/>
  <c r="N29" i="30" s="1"/>
  <c r="I36" i="30" l="1"/>
  <c r="M35" i="30"/>
  <c r="J30" i="30"/>
  <c r="N30" i="30" s="1"/>
  <c r="I37" i="30" l="1"/>
  <c r="M36" i="30"/>
  <c r="J31" i="30"/>
  <c r="N31" i="30" s="1"/>
  <c r="I38" i="30" l="1"/>
  <c r="M37" i="30"/>
  <c r="J32" i="30"/>
  <c r="N32" i="30" s="1"/>
  <c r="I39" i="30" l="1"/>
  <c r="M38" i="30"/>
  <c r="J33" i="30"/>
  <c r="N33" i="30" l="1"/>
  <c r="J66" i="30"/>
  <c r="N66" i="30" s="1"/>
  <c r="I40" i="30"/>
  <c r="M39" i="30"/>
  <c r="J34" i="30"/>
  <c r="N34" i="30" s="1"/>
  <c r="I41" i="30" l="1"/>
  <c r="M40" i="30"/>
  <c r="J35" i="30"/>
  <c r="N35" i="30" s="1"/>
  <c r="I42" i="30" l="1"/>
  <c r="M41" i="30"/>
  <c r="J36" i="30"/>
  <c r="N36" i="30" s="1"/>
  <c r="I43" i="30" l="1"/>
  <c r="I67" i="30" s="1"/>
  <c r="M67" i="30" s="1"/>
  <c r="M42" i="30"/>
  <c r="J37" i="30"/>
  <c r="N37" i="30" s="1"/>
  <c r="I44" i="30" l="1"/>
  <c r="M43" i="30"/>
  <c r="J38" i="30"/>
  <c r="N38" i="30" s="1"/>
  <c r="I45" i="30" l="1"/>
  <c r="M44" i="30"/>
  <c r="J39" i="30"/>
  <c r="N39" i="30" s="1"/>
  <c r="I46" i="30" l="1"/>
  <c r="M45" i="30"/>
  <c r="J40" i="30"/>
  <c r="N40" i="30" s="1"/>
  <c r="I47" i="30" l="1"/>
  <c r="M46" i="30"/>
  <c r="J41" i="30"/>
  <c r="N41" i="30" s="1"/>
  <c r="I48" i="30" l="1"/>
  <c r="M47" i="30"/>
  <c r="J42" i="30"/>
  <c r="N42" i="30" s="1"/>
  <c r="I49" i="30" l="1"/>
  <c r="M48" i="30"/>
  <c r="J43" i="30"/>
  <c r="N43" i="30" l="1"/>
  <c r="J67" i="30"/>
  <c r="N67" i="30" s="1"/>
  <c r="I50" i="30"/>
  <c r="M49" i="30"/>
  <c r="J44" i="30"/>
  <c r="N44" i="30" s="1"/>
  <c r="I51" i="30" l="1"/>
  <c r="M50" i="30"/>
  <c r="J45" i="30"/>
  <c r="N45" i="30" s="1"/>
  <c r="I52" i="30" l="1"/>
  <c r="M51" i="30"/>
  <c r="J46" i="30"/>
  <c r="N46" i="30" s="1"/>
  <c r="I53" i="30" l="1"/>
  <c r="I68" i="30" s="1"/>
  <c r="M68" i="30" s="1"/>
  <c r="M52" i="30"/>
  <c r="J47" i="30"/>
  <c r="N47" i="30" s="1"/>
  <c r="I54" i="30" l="1"/>
  <c r="M53" i="30"/>
  <c r="J48" i="30"/>
  <c r="N48" i="30" s="1"/>
  <c r="I55" i="30" l="1"/>
  <c r="M54" i="30"/>
  <c r="J49" i="30"/>
  <c r="N49" i="30" s="1"/>
  <c r="I56" i="30" l="1"/>
  <c r="M55" i="30"/>
  <c r="J50" i="30"/>
  <c r="N50" i="30" s="1"/>
  <c r="I57" i="30" l="1"/>
  <c r="M56" i="30"/>
  <c r="J51" i="30"/>
  <c r="N51" i="30" s="1"/>
  <c r="I58" i="30" l="1"/>
  <c r="M57" i="30"/>
  <c r="J52" i="30"/>
  <c r="N52" i="30" s="1"/>
  <c r="I59" i="30" l="1"/>
  <c r="M58" i="30"/>
  <c r="J53" i="30"/>
  <c r="N53" i="30" l="1"/>
  <c r="J68" i="30"/>
  <c r="N68" i="30" s="1"/>
  <c r="I60" i="30"/>
  <c r="M59" i="30"/>
  <c r="J54" i="30"/>
  <c r="N54" i="30" s="1"/>
  <c r="I61" i="30" l="1"/>
  <c r="M60" i="30"/>
  <c r="J55" i="30"/>
  <c r="N55" i="30" s="1"/>
  <c r="I62" i="30" l="1"/>
  <c r="M61" i="30"/>
  <c r="J56" i="30"/>
  <c r="N56" i="30" s="1"/>
  <c r="I63" i="30" l="1"/>
  <c r="M62" i="30"/>
  <c r="J57" i="30"/>
  <c r="N57" i="30" s="1"/>
  <c r="M63" i="30" l="1"/>
  <c r="I69" i="30"/>
  <c r="J58" i="30"/>
  <c r="N58" i="30" s="1"/>
  <c r="I77" i="30" l="1"/>
  <c r="M77" i="30" s="1"/>
  <c r="I76" i="30"/>
  <c r="M76" i="30" s="1"/>
  <c r="M69" i="30"/>
  <c r="J59" i="30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J76" i="30" l="1"/>
  <c r="N76" i="30" s="1"/>
  <c r="J77" i="30"/>
  <c r="N77" i="30" s="1"/>
  <c r="N69" i="30"/>
</calcChain>
</file>

<file path=xl/sharedStrings.xml><?xml version="1.0" encoding="utf-8"?>
<sst xmlns="http://schemas.openxmlformats.org/spreadsheetml/2006/main" count="935" uniqueCount="518">
  <si>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</si>
  <si>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</si>
  <si>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</si>
  <si>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</si>
  <si>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</si>
  <si>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</si>
  <si>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</si>
  <si>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</si>
  <si>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</si>
  <si>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</si>
  <si>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</si>
  <si>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</si>
  <si>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</si>
  <si>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</si>
  <si>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</si>
  <si>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</si>
  <si>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</si>
  <si>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</si>
  <si>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</si>
  <si>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</si>
  <si>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</si>
  <si>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</si>
  <si>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</si>
  <si>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</si>
  <si>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</si>
  <si>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</si>
  <si>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</si>
  <si>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</si>
  <si>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</si>
  <si>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</si>
  <si>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</si>
  <si>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</si>
  <si>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</si>
  <si>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</si>
  <si>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</si>
  <si>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</si>
  <si>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</si>
  <si>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</si>
  <si>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</si>
  <si>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</si>
  <si>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</si>
  <si>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</si>
  <si>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</si>
  <si>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</si>
  <si>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</si>
  <si>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</si>
  <si>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</si>
  <si>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</si>
  <si>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</si>
  <si>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</si>
  <si>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</si>
  <si>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</si>
  <si>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</si>
  <si>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</si>
  <si>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</si>
  <si>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</si>
  <si>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</si>
  <si>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</si>
  <si>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</si>
  <si>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</si>
  <si>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</si>
  <si>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</si>
  <si>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</si>
  <si>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</si>
  <si>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</si>
  <si>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</si>
  <si>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</si>
  <si>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</si>
  <si>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</si>
  <si>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</si>
  <si>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</si>
  <si>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</si>
  <si>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</si>
  <si>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</si>
  <si>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</si>
  <si>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</si>
  <si>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</si>
  <si>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</si>
  <si>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</si>
  <si>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</si>
  <si>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</si>
  <si>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</si>
  <si>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</si>
  <si>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</si>
  <si>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</si>
  <si>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</si>
  <si>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</si>
  <si>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</si>
  <si>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</si>
  <si>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</si>
  <si>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</si>
  <si>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</si>
  <si>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</si>
  <si>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</si>
  <si>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</si>
  <si>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</si>
  <si>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</si>
  <si>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</si>
  <si>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</si>
  <si>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</si>
  <si>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</si>
  <si>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</si>
  <si>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</si>
  <si>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</si>
  <si>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</si>
  <si>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</si>
  <si>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</si>
  <si>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</si>
  <si>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</si>
  <si>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</si>
  <si>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</si>
  <si>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</si>
  <si>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</si>
  <si>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</si>
  <si>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</si>
  <si>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</si>
  <si>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</si>
  <si>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</si>
  <si>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</si>
  <si>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</si>
  <si>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</si>
  <si>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</si>
  <si>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</si>
  <si>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</si>
  <si>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</si>
  <si>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</si>
  <si>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</si>
  <si>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</si>
  <si>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</si>
  <si>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</si>
  <si>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</si>
  <si>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</si>
  <si>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</si>
  <si>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</si>
  <si>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</si>
  <si>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</si>
  <si>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</si>
  <si>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</si>
  <si>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</si>
  <si>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</si>
  <si>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</si>
  <si>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</si>
  <si>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</si>
  <si>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</si>
  <si>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</si>
  <si>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</si>
  <si>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</si>
  <si>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</si>
  <si>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</si>
  <si>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</si>
  <si>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</si>
  <si>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</si>
  <si>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</si>
  <si>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</si>
  <si>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</si>
  <si>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</si>
  <si>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</si>
  <si>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</si>
  <si>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</si>
  <si>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</si>
  <si>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</si>
  <si>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</si>
  <si>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</si>
  <si>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</si>
  <si>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</si>
  <si>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</si>
  <si>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</si>
  <si>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</si>
  <si>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</si>
  <si>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</si>
  <si>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</si>
  <si>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</si>
  <si>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</si>
  <si>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</si>
  <si>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</si>
  <si>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</si>
  <si>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</si>
  <si>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</si>
  <si>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</si>
  <si>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</si>
  <si>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</si>
  <si>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</si>
  <si>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</si>
  <si>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</si>
  <si>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</si>
  <si>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</si>
  <si>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</si>
  <si>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</si>
  <si>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</si>
  <si>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</si>
  <si>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</si>
  <si>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</si>
  <si>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</si>
  <si>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</si>
  <si>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</si>
  <si>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</si>
  <si>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</si>
  <si>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</si>
  <si>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</si>
  <si>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</si>
  <si>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</si>
  <si>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</si>
  <si>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</si>
  <si>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</si>
  <si>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</si>
  <si>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</si>
  <si>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</si>
  <si>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</si>
  <si>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</si>
  <si>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</si>
  <si>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</si>
  <si>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</si>
  <si>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</si>
  <si>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</si>
  <si>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</si>
  <si>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</si>
  <si>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</si>
  <si>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</si>
  <si>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</si>
  <si>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</si>
  <si>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</si>
  <si>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</si>
  <si>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</si>
  <si>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</si>
  <si>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</si>
  <si>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</si>
  <si>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</si>
  <si>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</si>
  <si>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</si>
  <si>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</si>
  <si>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</si>
  <si>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</si>
  <si>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</si>
  <si>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</si>
  <si>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</si>
  <si>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</si>
  <si>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</si>
  <si>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</si>
  <si>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</si>
  <si>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</si>
  <si>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</si>
  <si>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</si>
  <si>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</si>
  <si>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</si>
  <si>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</si>
  <si>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</si>
  <si>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</si>
  <si>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</si>
  <si>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</si>
  <si>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</si>
  <si>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</si>
  <si>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</si>
  <si>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</si>
  <si>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</si>
  <si>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</si>
  <si>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</si>
  <si>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</si>
  <si>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</si>
  <si>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</si>
  <si>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</si>
  <si>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</si>
  <si>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</si>
  <si>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</si>
  <si>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</si>
  <si>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</si>
  <si>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</si>
  <si>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</si>
  <si>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</si>
  <si>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</si>
  <si>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</si>
  <si>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</si>
  <si>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</si>
  <si>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</si>
  <si>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</si>
  <si>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</si>
  <si>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</si>
  <si>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</si>
  <si>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</si>
  <si>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</si>
  <si>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</si>
  <si>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</si>
  <si>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</si>
  <si>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</si>
  <si>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</si>
  <si>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</si>
  <si>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</si>
  <si>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</si>
  <si>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</si>
  <si>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</si>
  <si>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</si>
  <si>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</si>
  <si>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</si>
  <si>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</si>
  <si>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</si>
  <si>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</si>
  <si>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</si>
  <si>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</si>
  <si>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</si>
  <si>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</si>
  <si>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</si>
  <si>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</si>
  <si>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</si>
  <si>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</si>
  <si>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</si>
  <si>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</si>
  <si>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</si>
  <si>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</si>
  <si>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</si>
  <si>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</si>
  <si>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</si>
  <si>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</si>
  <si>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</si>
  <si>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</si>
  <si>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</si>
  <si>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</si>
  <si>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</si>
  <si>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</si>
  <si>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</si>
  <si>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</si>
  <si>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</si>
  <si>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</si>
  <si>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</si>
  <si>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</si>
  <si>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</si>
  <si>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</si>
  <si>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</si>
  <si>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</si>
  <si>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</si>
  <si>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</si>
  <si>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</si>
  <si>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</si>
  <si>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</si>
  <si>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</si>
  <si>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</si>
  <si>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</si>
  <si>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</si>
  <si>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</si>
  <si>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</si>
  <si>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</si>
  <si>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</si>
  <si>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</si>
  <si>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</si>
  <si>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</si>
  <si>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</si>
  <si>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</si>
  <si>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</si>
  <si>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</si>
  <si>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</si>
  <si>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</si>
  <si>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</si>
  <si>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</si>
  <si>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</si>
  <si>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</si>
  <si>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</si>
  <si>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</si>
  <si>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</si>
  <si>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</si>
  <si>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</si>
  <si>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</si>
  <si>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</si>
  <si>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</si>
  <si>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</si>
  <si>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</si>
  <si>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</si>
  <si>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</si>
  <si>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</si>
  <si>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</si>
  <si>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</si>
  <si>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</si>
  <si>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</si>
  <si>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</si>
  <si>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</si>
  <si>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</si>
  <si>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</si>
  <si>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</si>
  <si>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</si>
  <si>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</si>
  <si>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</si>
  <si>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</si>
  <si>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</si>
  <si>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</si>
  <si>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</si>
  <si>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</si>
  <si>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</si>
  <si>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</si>
  <si>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</si>
  <si>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</si>
  <si>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</si>
  <si>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</si>
  <si>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</si>
  <si>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</si>
  <si>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</si>
  <si>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</si>
  <si>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</si>
  <si>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</si>
  <si>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</si>
  <si>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</si>
  <si>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</si>
  <si>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</si>
  <si>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</si>
  <si>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</si>
  <si>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</si>
  <si>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</si>
  <si>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</si>
  <si>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</si>
  <si>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</si>
  <si>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</si>
  <si>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</si>
  <si>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</si>
  <si>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</si>
  <si>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</si>
  <si>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</si>
  <si>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</si>
  <si>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</si>
  <si>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</si>
  <si>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</si>
  <si>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</si>
  <si>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</si>
  <si>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</si>
  <si>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</si>
  <si>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</si>
  <si>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</si>
  <si>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</si>
  <si>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</si>
  <si>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</si>
  <si>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</si>
  <si>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</si>
  <si>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</si>
  <si>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</si>
  <si>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</si>
  <si>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</si>
  <si>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</si>
  <si>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</si>
  <si>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</si>
  <si>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</si>
  <si>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</si>
  <si>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</si>
  <si>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</si>
  <si>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</si>
  <si>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</si>
  <si>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</si>
  <si>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</si>
  <si>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</si>
  <si>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</si>
  <si>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</si>
  <si>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</si>
  <si>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</si>
  <si>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</si>
  <si>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</si>
  <si>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</si>
  <si>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</si>
  <si>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</si>
  <si>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</si>
  <si>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</si>
  <si>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</si>
  <si>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</si>
  <si>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</si>
  <si>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</si>
  <si>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</si>
  <si>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</si>
  <si>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</si>
  <si>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</si>
  <si>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</si>
  <si>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</si>
  <si>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</si>
  <si>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</si>
  <si>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</si>
  <si>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</si>
  <si>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</si>
  <si>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</si>
  <si>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</si>
  <si>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</si>
  <si>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</si>
  <si>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</si>
  <si>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</si>
  <si>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</si>
  <si>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</si>
  <si>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</si>
  <si>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</si>
  <si>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</si>
  <si>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</si>
  <si>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</si>
  <si>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</si>
  <si>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</si>
  <si>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</si>
  <si>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</si>
  <si>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</si>
  <si>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</si>
  <si>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</si>
  <si>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</si>
  <si>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</si>
  <si>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</si>
  <si>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</si>
  <si>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</si>
  <si>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</si>
  <si>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</si>
  <si>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</si>
  <si>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</si>
  <si>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</si>
  <si>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</si>
  <si>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</si>
  <si>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</si>
  <si>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</si>
  <si>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</si>
  <si>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</si>
  <si>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</si>
  <si>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</si>
  <si>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</si>
  <si>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</si>
  <si>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</si>
  <si>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</si>
  <si>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</si>
  <si>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</si>
  <si>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</si>
  <si>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</si>
  <si>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单位</t>
    <phoneticPr fontId="7" type="noConversion"/>
  </si>
  <si>
    <t>u109</t>
    <phoneticPr fontId="7" type="noConversion"/>
  </si>
  <si>
    <t>U001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</si>
</sst>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79" activePane="bottomRight" state="frozen"/>
      <selection pane="topRight"/>
      <selection pane="bottomLeft"/>
      <selection pane="bottomRight" activeCell="F103" sqref="F103"/>
    </sheetView>
  </sheetViews>
  <sheetFormatPr defaultColWidth="9" defaultRowHeight="13.5" x14ac:dyDescent="0.15"/>
  <cols>
    <col min="1" max="1" width="12.5" customWidth="1"/>
    <col min="3" max="3" width="12.5" customWidth="1"/>
    <col min="4" max="4" width="12.87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" t="s">
        <v>0</v>
      </c>
      <c r="C1" s="2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t="s">
        <v>1</v>
      </c>
      <c r="B2" s="6" t="s">
        <v>515</v>
      </c>
      <c r="C2" s="6" t="s">
        <v>38</v>
      </c>
      <c r="D2" s="4" t="s">
        <v>2</v>
      </c>
      <c r="E2" t="s">
        <v>3</v>
      </c>
      <c r="F2" s="17" t="s">
        <v>396</v>
      </c>
      <c r="G2" s="3" t="s">
        <v>4</v>
      </c>
      <c r="H2" s="3" t="s">
        <v>5</v>
      </c>
      <c r="I2" t="s">
        <v>479</v>
      </c>
      <c r="J2" t="s">
        <v>6</v>
      </c>
      <c r="K2" t="s">
        <v>7</v>
      </c>
      <c r="L2" t="s">
        <v>8</v>
      </c>
    </row>
    <row r="3" spans="1:12" ht="15" x14ac:dyDescent="0.15">
      <c r="B3" s="6" t="s">
        <v>217</v>
      </c>
      <c r="C3" s="6" t="s">
        <v>39</v>
      </c>
      <c r="D3" s="2" t="s">
        <v>9</v>
      </c>
      <c r="E3" s="1" t="s">
        <v>10</v>
      </c>
      <c r="F3" s="1" t="s">
        <v>397</v>
      </c>
      <c r="G3" s="1" t="s">
        <v>11</v>
      </c>
      <c r="H3" s="1" t="s">
        <v>12</v>
      </c>
      <c r="I3" s="1" t="s">
        <v>480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13" t="s">
        <v>215</v>
      </c>
      <c r="B4" s="12" t="s">
        <v>517</v>
      </c>
      <c r="C4" s="12" t="s">
        <v>204</v>
      </c>
      <c r="D4" s="7" t="s">
        <v>216</v>
      </c>
      <c r="E4" s="1"/>
      <c r="F4" s="1"/>
      <c r="G4" s="1"/>
      <c r="H4" s="1"/>
      <c r="I4" s="1">
        <v>30</v>
      </c>
      <c r="J4" s="1"/>
      <c r="K4" s="1"/>
      <c r="L4" s="1"/>
    </row>
    <row r="5" spans="1:12" ht="15" x14ac:dyDescent="0.15">
      <c r="A5" s="7" t="s">
        <v>40</v>
      </c>
      <c r="B5" s="12" t="s">
        <v>227</v>
      </c>
      <c r="C5" s="12" t="s">
        <v>204</v>
      </c>
      <c r="D5" s="1"/>
      <c r="F5" s="2"/>
      <c r="I5" s="1">
        <v>30</v>
      </c>
    </row>
    <row r="6" spans="1:12" ht="15" x14ac:dyDescent="0.15">
      <c r="A6" s="7" t="s">
        <v>41</v>
      </c>
      <c r="B6" s="12" t="s">
        <v>228</v>
      </c>
      <c r="C6" s="12" t="s">
        <v>42</v>
      </c>
      <c r="D6" s="1"/>
      <c r="F6" s="2"/>
      <c r="I6" s="1">
        <v>30</v>
      </c>
    </row>
    <row r="7" spans="1:12" ht="15" x14ac:dyDescent="0.15">
      <c r="A7" s="7" t="s">
        <v>43</v>
      </c>
      <c r="B7" s="12" t="s">
        <v>229</v>
      </c>
      <c r="C7" s="12" t="s">
        <v>44</v>
      </c>
      <c r="D7" s="1"/>
      <c r="F7" s="2"/>
      <c r="I7" s="1">
        <v>30</v>
      </c>
    </row>
    <row r="8" spans="1:12" ht="15" x14ac:dyDescent="0.15">
      <c r="A8" s="7" t="s">
        <v>45</v>
      </c>
      <c r="B8" s="12" t="s">
        <v>230</v>
      </c>
      <c r="C8" s="12" t="s">
        <v>46</v>
      </c>
      <c r="D8" s="1"/>
      <c r="F8" s="2"/>
      <c r="I8" s="1">
        <v>30</v>
      </c>
    </row>
    <row r="9" spans="1:12" ht="15" x14ac:dyDescent="0.15">
      <c r="A9" s="7" t="s">
        <v>47</v>
      </c>
      <c r="B9" s="12" t="s">
        <v>231</v>
      </c>
      <c r="C9" s="12" t="s">
        <v>48</v>
      </c>
      <c r="D9" s="1"/>
      <c r="F9" s="2"/>
      <c r="I9" s="1">
        <v>30</v>
      </c>
    </row>
    <row r="10" spans="1:12" ht="15" x14ac:dyDescent="0.15">
      <c r="A10" s="7" t="s">
        <v>49</v>
      </c>
      <c r="B10" s="12" t="s">
        <v>232</v>
      </c>
      <c r="C10" s="12" t="s">
        <v>50</v>
      </c>
      <c r="D10" s="1"/>
      <c r="F10" s="2"/>
      <c r="I10" s="1">
        <v>30</v>
      </c>
    </row>
    <row r="11" spans="1:12" ht="15" x14ac:dyDescent="0.15">
      <c r="A11" s="7" t="s">
        <v>51</v>
      </c>
      <c r="B11" s="12" t="s">
        <v>233</v>
      </c>
      <c r="C11" s="12" t="s">
        <v>52</v>
      </c>
      <c r="D11" s="1"/>
      <c r="F11" s="2"/>
      <c r="I11" s="1">
        <v>30</v>
      </c>
    </row>
    <row r="12" spans="1:12" ht="15" x14ac:dyDescent="0.15">
      <c r="A12" s="7" t="s">
        <v>53</v>
      </c>
      <c r="B12" s="12" t="s">
        <v>234</v>
      </c>
      <c r="C12" s="12" t="s">
        <v>54</v>
      </c>
      <c r="D12" s="1"/>
      <c r="F12" s="2"/>
      <c r="I12" s="1">
        <v>30</v>
      </c>
    </row>
    <row r="13" spans="1:12" ht="15" x14ac:dyDescent="0.15">
      <c r="A13" s="7" t="s">
        <v>55</v>
      </c>
      <c r="B13" s="12" t="s">
        <v>235</v>
      </c>
      <c r="C13" s="12" t="s">
        <v>56</v>
      </c>
      <c r="D13" s="1"/>
      <c r="F13" s="2"/>
      <c r="I13" s="1">
        <v>30</v>
      </c>
    </row>
    <row r="14" spans="1:12" ht="15" x14ac:dyDescent="0.15">
      <c r="A14" s="7" t="s">
        <v>57</v>
      </c>
      <c r="B14" s="12" t="s">
        <v>236</v>
      </c>
      <c r="C14" s="12" t="s">
        <v>58</v>
      </c>
      <c r="D14" s="1"/>
      <c r="F14" s="2"/>
      <c r="I14" s="1">
        <v>30</v>
      </c>
    </row>
    <row r="15" spans="1:12" ht="15" x14ac:dyDescent="0.15">
      <c r="A15" s="7" t="s">
        <v>59</v>
      </c>
      <c r="B15" s="12" t="s">
        <v>237</v>
      </c>
      <c r="C15" s="12" t="s">
        <v>60</v>
      </c>
      <c r="D15" s="1"/>
      <c r="F15" s="2"/>
      <c r="I15" s="1">
        <v>30</v>
      </c>
    </row>
    <row r="16" spans="1:12" ht="15" x14ac:dyDescent="0.15">
      <c r="A16" s="7" t="s">
        <v>61</v>
      </c>
      <c r="B16" s="12" t="s">
        <v>238</v>
      </c>
      <c r="C16" s="12" t="s">
        <v>205</v>
      </c>
      <c r="D16" s="1"/>
      <c r="F16" s="2"/>
      <c r="I16" s="1">
        <v>30</v>
      </c>
    </row>
    <row r="17" spans="1:9" ht="15" x14ac:dyDescent="0.15">
      <c r="A17" s="7" t="s">
        <v>62</v>
      </c>
      <c r="B17" s="12" t="s">
        <v>239</v>
      </c>
      <c r="C17" s="12" t="s">
        <v>63</v>
      </c>
      <c r="D17" s="1"/>
      <c r="F17" s="2"/>
      <c r="I17" s="1">
        <v>30</v>
      </c>
    </row>
    <row r="18" spans="1:9" ht="15" x14ac:dyDescent="0.15">
      <c r="A18" s="7" t="s">
        <v>64</v>
      </c>
      <c r="B18" s="12" t="s">
        <v>240</v>
      </c>
      <c r="C18" s="12" t="s">
        <v>65</v>
      </c>
      <c r="D18" s="1"/>
      <c r="F18" s="2"/>
      <c r="I18" s="1">
        <v>30</v>
      </c>
    </row>
    <row r="19" spans="1:9" ht="15" x14ac:dyDescent="0.15">
      <c r="A19" s="7" t="s">
        <v>66</v>
      </c>
      <c r="B19" s="12" t="s">
        <v>241</v>
      </c>
      <c r="C19" s="12" t="s">
        <v>67</v>
      </c>
      <c r="D19" s="1"/>
      <c r="F19" s="2"/>
      <c r="I19" s="1">
        <v>30</v>
      </c>
    </row>
    <row r="20" spans="1:9" ht="15" x14ac:dyDescent="0.15">
      <c r="A20" s="7" t="s">
        <v>68</v>
      </c>
      <c r="B20" s="12" t="s">
        <v>242</v>
      </c>
      <c r="C20" s="12" t="s">
        <v>69</v>
      </c>
      <c r="D20" s="1"/>
      <c r="F20" s="2"/>
      <c r="I20" s="1">
        <v>30</v>
      </c>
    </row>
    <row r="21" spans="1:9" ht="15" x14ac:dyDescent="0.15">
      <c r="A21" s="7" t="s">
        <v>70</v>
      </c>
      <c r="B21" s="12" t="s">
        <v>243</v>
      </c>
      <c r="C21" s="12" t="s">
        <v>71</v>
      </c>
      <c r="F21" s="2"/>
      <c r="I21" s="1">
        <v>30</v>
      </c>
    </row>
    <row r="22" spans="1:9" ht="15" x14ac:dyDescent="0.15">
      <c r="A22" s="7" t="s">
        <v>72</v>
      </c>
      <c r="B22" s="12" t="s">
        <v>244</v>
      </c>
      <c r="C22" s="12" t="s">
        <v>73</v>
      </c>
      <c r="F22" s="2"/>
      <c r="I22" s="1">
        <v>30</v>
      </c>
    </row>
    <row r="23" spans="1:9" ht="15" x14ac:dyDescent="0.15">
      <c r="A23" s="7" t="s">
        <v>74</v>
      </c>
      <c r="B23" s="12" t="s">
        <v>245</v>
      </c>
      <c r="C23" s="12" t="s">
        <v>75</v>
      </c>
      <c r="F23" s="2"/>
      <c r="I23" s="1">
        <v>30</v>
      </c>
    </row>
    <row r="24" spans="1:9" ht="15" x14ac:dyDescent="0.15">
      <c r="A24" s="7" t="s">
        <v>76</v>
      </c>
      <c r="B24" s="12" t="s">
        <v>246</v>
      </c>
      <c r="C24" s="12" t="s">
        <v>77</v>
      </c>
      <c r="F24" s="2"/>
      <c r="I24" s="1">
        <v>30</v>
      </c>
    </row>
    <row r="25" spans="1:9" ht="15" x14ac:dyDescent="0.15">
      <c r="A25" s="7" t="s">
        <v>78</v>
      </c>
      <c r="B25" s="12" t="s">
        <v>247</v>
      </c>
      <c r="C25" s="12" t="s">
        <v>79</v>
      </c>
      <c r="F25" s="2"/>
      <c r="I25" s="1">
        <v>30</v>
      </c>
    </row>
    <row r="26" spans="1:9" ht="15" x14ac:dyDescent="0.15">
      <c r="A26" s="7" t="s">
        <v>80</v>
      </c>
      <c r="B26" s="12" t="s">
        <v>248</v>
      </c>
      <c r="C26" s="12" t="s">
        <v>81</v>
      </c>
      <c r="F26" s="2"/>
      <c r="I26" s="1">
        <v>30</v>
      </c>
    </row>
    <row r="27" spans="1:9" ht="15" x14ac:dyDescent="0.15">
      <c r="A27" s="7" t="s">
        <v>82</v>
      </c>
      <c r="B27" s="12" t="s">
        <v>249</v>
      </c>
      <c r="C27" s="12" t="s">
        <v>83</v>
      </c>
      <c r="F27" s="2"/>
      <c r="I27" s="1">
        <v>30</v>
      </c>
    </row>
    <row r="28" spans="1:9" ht="15" x14ac:dyDescent="0.15">
      <c r="A28" s="7" t="s">
        <v>84</v>
      </c>
      <c r="B28" s="12" t="s">
        <v>250</v>
      </c>
      <c r="C28" s="12" t="s">
        <v>85</v>
      </c>
      <c r="F28" s="2"/>
      <c r="I28" s="1">
        <v>30</v>
      </c>
    </row>
    <row r="29" spans="1:9" ht="15" x14ac:dyDescent="0.15">
      <c r="A29" s="7" t="s">
        <v>86</v>
      </c>
      <c r="B29" s="12" t="s">
        <v>251</v>
      </c>
      <c r="C29" s="12" t="s">
        <v>87</v>
      </c>
      <c r="F29" s="2"/>
      <c r="I29" s="1">
        <v>30</v>
      </c>
    </row>
    <row r="30" spans="1:9" ht="15" x14ac:dyDescent="0.15">
      <c r="A30" s="7" t="s">
        <v>88</v>
      </c>
      <c r="B30" s="12" t="s">
        <v>252</v>
      </c>
      <c r="C30" s="12" t="s">
        <v>89</v>
      </c>
      <c r="F30" s="2"/>
      <c r="I30" s="1">
        <v>30</v>
      </c>
    </row>
    <row r="31" spans="1:9" ht="15" x14ac:dyDescent="0.15">
      <c r="A31" s="7" t="s">
        <v>90</v>
      </c>
      <c r="B31" s="12" t="s">
        <v>253</v>
      </c>
      <c r="C31" s="12" t="s">
        <v>91</v>
      </c>
      <c r="F31" s="2"/>
      <c r="I31" s="1">
        <v>30</v>
      </c>
    </row>
    <row r="32" spans="1:9" ht="15" x14ac:dyDescent="0.15">
      <c r="A32" s="7" t="s">
        <v>92</v>
      </c>
      <c r="B32" s="12" t="s">
        <v>254</v>
      </c>
      <c r="C32" s="12" t="s">
        <v>93</v>
      </c>
      <c r="F32" s="2"/>
      <c r="I32" s="1">
        <v>30</v>
      </c>
    </row>
    <row r="33" spans="1:9" ht="15" x14ac:dyDescent="0.15">
      <c r="A33" s="7" t="s">
        <v>94</v>
      </c>
      <c r="B33" s="12" t="s">
        <v>255</v>
      </c>
      <c r="C33" s="12" t="s">
        <v>95</v>
      </c>
      <c r="F33" s="2"/>
      <c r="I33" s="1">
        <v>30</v>
      </c>
    </row>
    <row r="34" spans="1:9" ht="15" x14ac:dyDescent="0.15">
      <c r="A34" s="7" t="s">
        <v>96</v>
      </c>
      <c r="B34" s="12" t="s">
        <v>256</v>
      </c>
      <c r="C34" s="12" t="s">
        <v>97</v>
      </c>
      <c r="F34" s="2"/>
      <c r="I34" s="1">
        <v>30</v>
      </c>
    </row>
    <row r="35" spans="1:9" ht="15" x14ac:dyDescent="0.15">
      <c r="A35" s="7" t="s">
        <v>98</v>
      </c>
      <c r="B35" s="12" t="s">
        <v>257</v>
      </c>
      <c r="C35" s="12" t="s">
        <v>99</v>
      </c>
      <c r="F35" s="2"/>
      <c r="I35" s="1">
        <v>30</v>
      </c>
    </row>
    <row r="36" spans="1:9" ht="15" x14ac:dyDescent="0.15">
      <c r="A36" s="7" t="s">
        <v>100</v>
      </c>
      <c r="B36" s="12" t="s">
        <v>258</v>
      </c>
      <c r="C36" s="12" t="s">
        <v>101</v>
      </c>
      <c r="F36" s="2"/>
      <c r="I36" s="1">
        <v>30</v>
      </c>
    </row>
    <row r="37" spans="1:9" ht="15" x14ac:dyDescent="0.15">
      <c r="A37" s="7" t="s">
        <v>102</v>
      </c>
      <c r="B37" s="12" t="s">
        <v>259</v>
      </c>
      <c r="C37" s="12" t="s">
        <v>103</v>
      </c>
      <c r="F37" s="2"/>
      <c r="I37" s="1">
        <v>30</v>
      </c>
    </row>
    <row r="38" spans="1:9" ht="15" x14ac:dyDescent="0.15">
      <c r="A38" s="7" t="s">
        <v>104</v>
      </c>
      <c r="B38" s="12" t="s">
        <v>260</v>
      </c>
      <c r="C38" s="12" t="s">
        <v>105</v>
      </c>
      <c r="F38" s="2"/>
      <c r="I38" s="1">
        <v>30</v>
      </c>
    </row>
    <row r="39" spans="1:9" ht="15" x14ac:dyDescent="0.15">
      <c r="A39" s="7" t="s">
        <v>106</v>
      </c>
      <c r="B39" s="12" t="s">
        <v>261</v>
      </c>
      <c r="C39" s="12" t="s">
        <v>107</v>
      </c>
      <c r="F39" s="2"/>
      <c r="I39" s="1">
        <v>30</v>
      </c>
    </row>
    <row r="40" spans="1:9" ht="15" x14ac:dyDescent="0.15">
      <c r="A40" s="7" t="s">
        <v>108</v>
      </c>
      <c r="B40" s="12" t="s">
        <v>262</v>
      </c>
      <c r="C40" s="12" t="s">
        <v>109</v>
      </c>
      <c r="F40" s="2"/>
      <c r="I40" s="1">
        <v>30</v>
      </c>
    </row>
    <row r="41" spans="1:9" ht="15" x14ac:dyDescent="0.15">
      <c r="A41" s="7" t="s">
        <v>110</v>
      </c>
      <c r="B41" s="12" t="s">
        <v>263</v>
      </c>
      <c r="C41" s="12" t="s">
        <v>111</v>
      </c>
      <c r="F41" s="2"/>
      <c r="I41" s="1">
        <v>30</v>
      </c>
    </row>
    <row r="42" spans="1:9" ht="15" x14ac:dyDescent="0.15">
      <c r="A42" s="7" t="s">
        <v>112</v>
      </c>
      <c r="B42" s="12" t="s">
        <v>264</v>
      </c>
      <c r="C42" s="12" t="s">
        <v>113</v>
      </c>
      <c r="F42" s="2"/>
      <c r="I42" s="1">
        <v>30</v>
      </c>
    </row>
    <row r="43" spans="1:9" ht="15" x14ac:dyDescent="0.15">
      <c r="A43" s="7" t="s">
        <v>114</v>
      </c>
      <c r="B43" s="12" t="s">
        <v>265</v>
      </c>
      <c r="C43" s="12" t="s">
        <v>115</v>
      </c>
      <c r="F43" s="2"/>
      <c r="I43" s="1">
        <v>30</v>
      </c>
    </row>
    <row r="44" spans="1:9" ht="15" x14ac:dyDescent="0.15">
      <c r="A44" s="7" t="s">
        <v>116</v>
      </c>
      <c r="B44" s="12" t="s">
        <v>266</v>
      </c>
      <c r="C44" s="12" t="s">
        <v>117</v>
      </c>
      <c r="F44" s="2"/>
      <c r="I44" s="1">
        <v>30</v>
      </c>
    </row>
    <row r="45" spans="1:9" ht="15" x14ac:dyDescent="0.15">
      <c r="A45" s="7" t="s">
        <v>118</v>
      </c>
      <c r="B45" s="12" t="s">
        <v>267</v>
      </c>
      <c r="C45" s="12" t="s">
        <v>119</v>
      </c>
      <c r="F45" s="2"/>
      <c r="I45" s="1">
        <v>60</v>
      </c>
    </row>
    <row r="46" spans="1:9" ht="15" x14ac:dyDescent="0.15">
      <c r="A46" s="7" t="s">
        <v>120</v>
      </c>
      <c r="B46" s="12" t="s">
        <v>268</v>
      </c>
      <c r="C46" s="12" t="s">
        <v>121</v>
      </c>
      <c r="F46" s="2"/>
      <c r="I46" s="1">
        <v>60</v>
      </c>
    </row>
    <row r="47" spans="1:9" ht="15" x14ac:dyDescent="0.15">
      <c r="A47" s="7" t="s">
        <v>122</v>
      </c>
      <c r="B47" s="12" t="s">
        <v>269</v>
      </c>
      <c r="C47" s="12" t="s">
        <v>123</v>
      </c>
      <c r="F47" s="2"/>
      <c r="I47" s="1">
        <v>60</v>
      </c>
    </row>
    <row r="48" spans="1:9" ht="15" x14ac:dyDescent="0.15">
      <c r="A48" s="7" t="s">
        <v>18</v>
      </c>
      <c r="B48" s="12" t="s">
        <v>270</v>
      </c>
      <c r="C48" s="12" t="s">
        <v>124</v>
      </c>
      <c r="F48" s="2"/>
      <c r="I48" s="1">
        <v>60</v>
      </c>
    </row>
    <row r="49" spans="1:9" ht="15" x14ac:dyDescent="0.15">
      <c r="A49" s="7" t="s">
        <v>125</v>
      </c>
      <c r="B49" s="12" t="s">
        <v>271</v>
      </c>
      <c r="C49" s="12" t="s">
        <v>126</v>
      </c>
      <c r="F49" s="2"/>
      <c r="I49" s="1">
        <v>60</v>
      </c>
    </row>
    <row r="50" spans="1:9" ht="15" x14ac:dyDescent="0.15">
      <c r="A50" s="7" t="s">
        <v>127</v>
      </c>
      <c r="B50" s="12" t="s">
        <v>272</v>
      </c>
      <c r="C50" s="12" t="s">
        <v>128</v>
      </c>
      <c r="F50" s="2"/>
      <c r="I50" s="1">
        <v>60</v>
      </c>
    </row>
    <row r="51" spans="1:9" ht="15" x14ac:dyDescent="0.15">
      <c r="A51" s="7" t="s">
        <v>129</v>
      </c>
      <c r="B51" s="12" t="s">
        <v>273</v>
      </c>
      <c r="C51" s="12" t="s">
        <v>130</v>
      </c>
      <c r="F51" s="2"/>
      <c r="I51" s="1">
        <v>60</v>
      </c>
    </row>
    <row r="52" spans="1:9" ht="15" x14ac:dyDescent="0.15">
      <c r="A52" s="7" t="s">
        <v>131</v>
      </c>
      <c r="B52" s="12" t="s">
        <v>274</v>
      </c>
      <c r="C52" s="12" t="s">
        <v>132</v>
      </c>
      <c r="F52" s="2"/>
      <c r="I52" s="1">
        <v>60</v>
      </c>
    </row>
    <row r="53" spans="1:9" ht="15" x14ac:dyDescent="0.15">
      <c r="A53" s="7" t="s">
        <v>133</v>
      </c>
      <c r="B53" s="12" t="s">
        <v>275</v>
      </c>
      <c r="C53" s="12" t="s">
        <v>134</v>
      </c>
      <c r="F53" s="2"/>
      <c r="I53" s="1">
        <v>60</v>
      </c>
    </row>
    <row r="54" spans="1:9" ht="15" x14ac:dyDescent="0.15">
      <c r="A54" s="7" t="s">
        <v>135</v>
      </c>
      <c r="B54" s="12" t="s">
        <v>276</v>
      </c>
      <c r="C54" s="12" t="s">
        <v>136</v>
      </c>
      <c r="F54" s="2"/>
      <c r="I54" s="1">
        <v>60</v>
      </c>
    </row>
    <row r="55" spans="1:9" ht="15" x14ac:dyDescent="0.15">
      <c r="A55" s="7" t="s">
        <v>137</v>
      </c>
      <c r="B55" s="12" t="s">
        <v>277</v>
      </c>
      <c r="C55" s="12" t="s">
        <v>138</v>
      </c>
      <c r="F55" s="2"/>
      <c r="I55" s="1">
        <v>60</v>
      </c>
    </row>
    <row r="56" spans="1:9" ht="15" x14ac:dyDescent="0.15">
      <c r="A56" s="7" t="s">
        <v>139</v>
      </c>
      <c r="B56" s="12" t="s">
        <v>278</v>
      </c>
      <c r="C56" s="12" t="s">
        <v>140</v>
      </c>
      <c r="E56" s="1"/>
      <c r="F56" s="2"/>
      <c r="I56" s="1">
        <v>60</v>
      </c>
    </row>
    <row r="57" spans="1:9" ht="15" x14ac:dyDescent="0.15">
      <c r="A57" s="7" t="s">
        <v>141</v>
      </c>
      <c r="B57" s="12" t="s">
        <v>279</v>
      </c>
      <c r="C57" s="12" t="s">
        <v>142</v>
      </c>
      <c r="E57" s="1"/>
      <c r="F57" s="2"/>
      <c r="I57" s="1">
        <v>60</v>
      </c>
    </row>
    <row r="58" spans="1:9" ht="15" x14ac:dyDescent="0.15">
      <c r="A58" s="7" t="s">
        <v>143</v>
      </c>
      <c r="B58" s="12" t="s">
        <v>280</v>
      </c>
      <c r="C58" s="12" t="s">
        <v>144</v>
      </c>
      <c r="E58" s="2"/>
      <c r="F58" s="2"/>
      <c r="I58" s="1">
        <v>60</v>
      </c>
    </row>
    <row r="59" spans="1:9" ht="15" x14ac:dyDescent="0.15">
      <c r="A59" s="7" t="s">
        <v>145</v>
      </c>
      <c r="B59" s="12" t="s">
        <v>281</v>
      </c>
      <c r="C59" s="12" t="s">
        <v>146</v>
      </c>
      <c r="F59" s="2"/>
      <c r="I59" s="1">
        <v>60</v>
      </c>
    </row>
    <row r="60" spans="1:9" ht="15" x14ac:dyDescent="0.15">
      <c r="A60" s="7" t="s">
        <v>147</v>
      </c>
      <c r="B60" s="12" t="s">
        <v>282</v>
      </c>
      <c r="C60" s="12" t="s">
        <v>148</v>
      </c>
      <c r="F60" s="2"/>
      <c r="I60" s="1">
        <v>60</v>
      </c>
    </row>
    <row r="61" spans="1:9" ht="15" x14ac:dyDescent="0.15">
      <c r="A61" s="7" t="s">
        <v>149</v>
      </c>
      <c r="B61" s="12" t="s">
        <v>283</v>
      </c>
      <c r="C61" s="12" t="s">
        <v>150</v>
      </c>
      <c r="F61" s="2"/>
      <c r="I61" s="1">
        <v>60</v>
      </c>
    </row>
    <row r="62" spans="1:9" ht="15" x14ac:dyDescent="0.15">
      <c r="A62" s="7" t="s">
        <v>151</v>
      </c>
      <c r="B62" s="12" t="s">
        <v>284</v>
      </c>
      <c r="C62" s="12" t="s">
        <v>152</v>
      </c>
      <c r="F62" s="2"/>
      <c r="I62" s="1">
        <v>60</v>
      </c>
    </row>
    <row r="63" spans="1:9" ht="15" x14ac:dyDescent="0.15">
      <c r="A63" s="7" t="s">
        <v>153</v>
      </c>
      <c r="B63" s="12" t="s">
        <v>285</v>
      </c>
      <c r="C63" s="12" t="s">
        <v>154</v>
      </c>
      <c r="F63" s="2"/>
      <c r="I63" s="1">
        <v>60</v>
      </c>
    </row>
    <row r="64" spans="1:9" ht="15" x14ac:dyDescent="0.15">
      <c r="A64" s="7" t="s">
        <v>155</v>
      </c>
      <c r="B64" s="12" t="s">
        <v>286</v>
      </c>
      <c r="C64" s="12" t="s">
        <v>156</v>
      </c>
      <c r="F64" s="2"/>
      <c r="I64" s="1">
        <v>60</v>
      </c>
    </row>
    <row r="65" spans="1:9" ht="15" x14ac:dyDescent="0.15">
      <c r="A65" s="7" t="s">
        <v>157</v>
      </c>
      <c r="B65" s="12" t="s">
        <v>287</v>
      </c>
      <c r="C65" s="12" t="s">
        <v>158</v>
      </c>
      <c r="F65" s="2"/>
      <c r="I65" s="1">
        <v>90</v>
      </c>
    </row>
    <row r="66" spans="1:9" ht="15" x14ac:dyDescent="0.15">
      <c r="A66" s="7" t="s">
        <v>17</v>
      </c>
      <c r="B66" s="12" t="s">
        <v>288</v>
      </c>
      <c r="C66" s="12" t="s">
        <v>159</v>
      </c>
      <c r="F66" s="2"/>
      <c r="I66" s="1">
        <v>90</v>
      </c>
    </row>
    <row r="67" spans="1:9" ht="15" x14ac:dyDescent="0.15">
      <c r="A67" s="7" t="s">
        <v>160</v>
      </c>
      <c r="B67" s="12" t="s">
        <v>289</v>
      </c>
      <c r="C67" s="12" t="s">
        <v>161</v>
      </c>
      <c r="F67" s="2"/>
      <c r="I67" s="1">
        <v>90</v>
      </c>
    </row>
    <row r="68" spans="1:9" ht="15" x14ac:dyDescent="0.15">
      <c r="A68" s="7" t="s">
        <v>16</v>
      </c>
      <c r="B68" s="12" t="s">
        <v>290</v>
      </c>
      <c r="C68" s="12" t="s">
        <v>162</v>
      </c>
      <c r="F68" s="2"/>
      <c r="I68" s="1">
        <v>90</v>
      </c>
    </row>
    <row r="69" spans="1:9" ht="15" x14ac:dyDescent="0.15">
      <c r="A69" s="7" t="s">
        <v>19</v>
      </c>
      <c r="B69" s="12" t="s">
        <v>291</v>
      </c>
      <c r="C69" s="12" t="s">
        <v>163</v>
      </c>
      <c r="F69" s="2"/>
      <c r="I69" s="1">
        <v>90</v>
      </c>
    </row>
    <row r="70" spans="1:9" ht="15" x14ac:dyDescent="0.15">
      <c r="A70" s="7" t="s">
        <v>164</v>
      </c>
      <c r="B70" s="12" t="s">
        <v>292</v>
      </c>
      <c r="C70" s="12" t="s">
        <v>165</v>
      </c>
      <c r="F70" s="2"/>
      <c r="I70" s="1">
        <v>90</v>
      </c>
    </row>
    <row r="71" spans="1:9" ht="15" x14ac:dyDescent="0.15">
      <c r="A71" s="7" t="s">
        <v>166</v>
      </c>
      <c r="B71" s="12" t="s">
        <v>293</v>
      </c>
      <c r="C71" s="12" t="s">
        <v>167</v>
      </c>
      <c r="F71" s="2"/>
      <c r="I71" s="1">
        <v>90</v>
      </c>
    </row>
    <row r="72" spans="1:9" ht="15" x14ac:dyDescent="0.15">
      <c r="A72" s="7" t="s">
        <v>168</v>
      </c>
      <c r="B72" s="12" t="s">
        <v>294</v>
      </c>
      <c r="C72" s="12" t="s">
        <v>169</v>
      </c>
      <c r="F72" s="2"/>
      <c r="I72" s="1">
        <v>90</v>
      </c>
    </row>
    <row r="73" spans="1:9" ht="15" x14ac:dyDescent="0.15">
      <c r="A73" s="7" t="s">
        <v>170</v>
      </c>
      <c r="B73" s="12" t="s">
        <v>295</v>
      </c>
      <c r="C73" s="12" t="s">
        <v>171</v>
      </c>
      <c r="F73" s="2"/>
      <c r="I73" s="1">
        <v>90</v>
      </c>
    </row>
    <row r="74" spans="1:9" ht="15" x14ac:dyDescent="0.15">
      <c r="A74" s="7" t="s">
        <v>172</v>
      </c>
      <c r="B74" s="12" t="s">
        <v>296</v>
      </c>
      <c r="C74" s="12" t="s">
        <v>173</v>
      </c>
      <c r="F74" s="2"/>
      <c r="I74" s="1">
        <v>90</v>
      </c>
    </row>
    <row r="75" spans="1:9" ht="15" x14ac:dyDescent="0.15">
      <c r="A75" s="7" t="s">
        <v>174</v>
      </c>
      <c r="B75" s="12" t="s">
        <v>297</v>
      </c>
      <c r="C75" s="12" t="s">
        <v>175</v>
      </c>
      <c r="F75" s="2"/>
      <c r="I75" s="1">
        <v>90</v>
      </c>
    </row>
    <row r="76" spans="1:9" ht="15" x14ac:dyDescent="0.15">
      <c r="A76" s="7" t="s">
        <v>176</v>
      </c>
      <c r="B76" s="12" t="s">
        <v>298</v>
      </c>
      <c r="C76" s="12" t="s">
        <v>177</v>
      </c>
      <c r="F76" s="2"/>
      <c r="I76" s="1">
        <v>90</v>
      </c>
    </row>
    <row r="77" spans="1:9" ht="15" x14ac:dyDescent="0.15">
      <c r="A77" s="7" t="s">
        <v>178</v>
      </c>
      <c r="B77" s="12" t="s">
        <v>299</v>
      </c>
      <c r="C77" s="12" t="s">
        <v>179</v>
      </c>
      <c r="F77" s="2"/>
      <c r="I77" s="1">
        <v>90</v>
      </c>
    </row>
    <row r="78" spans="1:9" ht="15" x14ac:dyDescent="0.15">
      <c r="A78" s="7" t="s">
        <v>180</v>
      </c>
      <c r="B78" s="12" t="s">
        <v>300</v>
      </c>
      <c r="C78" s="12" t="s">
        <v>181</v>
      </c>
      <c r="F78" s="2"/>
      <c r="I78" s="1">
        <v>90</v>
      </c>
    </row>
    <row r="79" spans="1:9" ht="15" x14ac:dyDescent="0.15">
      <c r="A79" s="7" t="s">
        <v>182</v>
      </c>
      <c r="B79" s="12" t="s">
        <v>301</v>
      </c>
      <c r="C79" s="12" t="s">
        <v>183</v>
      </c>
      <c r="F79" s="2"/>
      <c r="I79" s="1">
        <v>90</v>
      </c>
    </row>
    <row r="80" spans="1:9" ht="15" x14ac:dyDescent="0.15">
      <c r="A80" s="7" t="s">
        <v>184</v>
      </c>
      <c r="B80" s="12" t="s">
        <v>302</v>
      </c>
      <c r="C80" s="12" t="s">
        <v>185</v>
      </c>
      <c r="F80" s="2"/>
      <c r="I80" s="1">
        <v>90</v>
      </c>
    </row>
    <row r="81" spans="1:9" ht="15" x14ac:dyDescent="0.15">
      <c r="A81" s="7" t="s">
        <v>186</v>
      </c>
      <c r="B81" s="12" t="s">
        <v>303</v>
      </c>
      <c r="C81" s="12" t="s">
        <v>187</v>
      </c>
      <c r="F81" s="2"/>
      <c r="I81" s="1">
        <v>90</v>
      </c>
    </row>
    <row r="82" spans="1:9" ht="15" x14ac:dyDescent="0.15">
      <c r="A82" s="7" t="s">
        <v>188</v>
      </c>
      <c r="B82" s="12" t="s">
        <v>304</v>
      </c>
      <c r="C82" s="12" t="s">
        <v>189</v>
      </c>
      <c r="F82" s="2"/>
      <c r="I82" s="1">
        <v>90</v>
      </c>
    </row>
    <row r="83" spans="1:9" ht="15" x14ac:dyDescent="0.15">
      <c r="A83" s="7" t="s">
        <v>190</v>
      </c>
      <c r="B83" s="12" t="s">
        <v>305</v>
      </c>
      <c r="C83" s="12" t="s">
        <v>191</v>
      </c>
      <c r="F83" s="2"/>
      <c r="I83" s="1">
        <v>90</v>
      </c>
    </row>
    <row r="84" spans="1:9" ht="15" x14ac:dyDescent="0.15">
      <c r="A84" s="7" t="s">
        <v>192</v>
      </c>
      <c r="B84" s="12" t="s">
        <v>306</v>
      </c>
      <c r="C84" s="12" t="s">
        <v>193</v>
      </c>
      <c r="F84" s="2"/>
      <c r="I84" s="1">
        <v>90</v>
      </c>
    </row>
    <row r="85" spans="1:9" ht="15" x14ac:dyDescent="0.15">
      <c r="A85" s="8" t="s">
        <v>402</v>
      </c>
      <c r="B85" s="12" t="s">
        <v>405</v>
      </c>
      <c r="C85" s="12" t="s">
        <v>183</v>
      </c>
      <c r="I85" s="1">
        <v>30</v>
      </c>
    </row>
    <row r="86" spans="1:9" ht="15" x14ac:dyDescent="0.15">
      <c r="A86" s="8" t="s">
        <v>404</v>
      </c>
      <c r="B86" s="12" t="s">
        <v>406</v>
      </c>
      <c r="C86" s="12" t="s">
        <v>403</v>
      </c>
      <c r="I86" s="1">
        <v>30</v>
      </c>
    </row>
    <row r="87" spans="1:9" ht="15" x14ac:dyDescent="0.15">
      <c r="A87" s="8" t="s">
        <v>407</v>
      </c>
      <c r="B87" s="12" t="s">
        <v>408</v>
      </c>
      <c r="C87" s="18" t="s">
        <v>409</v>
      </c>
      <c r="I87" s="1">
        <v>30</v>
      </c>
    </row>
    <row r="88" spans="1:9" ht="15" x14ac:dyDescent="0.15">
      <c r="A88" s="8" t="s">
        <v>415</v>
      </c>
      <c r="B88" s="12" t="s">
        <v>442</v>
      </c>
      <c r="C88" s="18" t="s">
        <v>409</v>
      </c>
      <c r="D88" s="16" t="s">
        <v>416</v>
      </c>
      <c r="I88" s="1">
        <v>30</v>
      </c>
    </row>
    <row r="89" spans="1:9" ht="15" x14ac:dyDescent="0.15">
      <c r="A89" s="19" t="s">
        <v>418</v>
      </c>
      <c r="B89" s="12" t="s">
        <v>443</v>
      </c>
      <c r="C89" s="18" t="s">
        <v>417</v>
      </c>
      <c r="I89" s="1">
        <v>30</v>
      </c>
    </row>
    <row r="90" spans="1:9" ht="15" x14ac:dyDescent="0.15">
      <c r="A90" s="8" t="s">
        <v>420</v>
      </c>
      <c r="B90" s="12" t="s">
        <v>444</v>
      </c>
      <c r="C90" s="18" t="s">
        <v>419</v>
      </c>
      <c r="I90" s="1">
        <v>30</v>
      </c>
    </row>
    <row r="91" spans="1:9" ht="15" x14ac:dyDescent="0.15">
      <c r="A91" s="20" t="s">
        <v>425</v>
      </c>
      <c r="B91" s="12" t="s">
        <v>445</v>
      </c>
      <c r="C91" s="13" t="s">
        <v>421</v>
      </c>
      <c r="D91" s="21" t="s">
        <v>433</v>
      </c>
      <c r="I91" s="1">
        <v>30</v>
      </c>
    </row>
    <row r="92" spans="1:9" ht="15" x14ac:dyDescent="0.15">
      <c r="A92" s="8" t="s">
        <v>422</v>
      </c>
      <c r="B92" s="12" t="s">
        <v>446</v>
      </c>
      <c r="C92" s="13" t="s">
        <v>423</v>
      </c>
      <c r="D92" s="21" t="s">
        <v>434</v>
      </c>
      <c r="I92" s="1">
        <v>30</v>
      </c>
    </row>
    <row r="93" spans="1:9" ht="15" x14ac:dyDescent="0.15">
      <c r="A93" s="20" t="s">
        <v>424</v>
      </c>
      <c r="B93" s="12" t="s">
        <v>447</v>
      </c>
      <c r="C93" s="18" t="s">
        <v>409</v>
      </c>
      <c r="D93" s="21"/>
      <c r="I93" s="1">
        <v>30</v>
      </c>
    </row>
    <row r="94" spans="1:9" ht="15" x14ac:dyDescent="0.15">
      <c r="A94" s="20" t="s">
        <v>426</v>
      </c>
      <c r="B94" s="12" t="s">
        <v>448</v>
      </c>
      <c r="C94" s="13" t="s">
        <v>460</v>
      </c>
      <c r="D94" s="21" t="s">
        <v>435</v>
      </c>
      <c r="I94" s="1">
        <v>30</v>
      </c>
    </row>
    <row r="95" spans="1:9" ht="15" x14ac:dyDescent="0.15">
      <c r="A95" s="20" t="s">
        <v>427</v>
      </c>
      <c r="B95" s="12" t="s">
        <v>449</v>
      </c>
      <c r="C95" s="13" t="s">
        <v>461</v>
      </c>
      <c r="D95" s="21" t="s">
        <v>436</v>
      </c>
      <c r="I95" s="1">
        <v>30</v>
      </c>
    </row>
    <row r="96" spans="1:9" ht="15" x14ac:dyDescent="0.15">
      <c r="A96" s="20" t="s">
        <v>428</v>
      </c>
      <c r="B96" s="12" t="s">
        <v>450</v>
      </c>
      <c r="C96" s="13" t="s">
        <v>459</v>
      </c>
      <c r="D96" s="21" t="s">
        <v>437</v>
      </c>
      <c r="I96" s="1">
        <v>30</v>
      </c>
    </row>
    <row r="97" spans="1:9" ht="15" x14ac:dyDescent="0.15">
      <c r="A97" s="20" t="s">
        <v>429</v>
      </c>
      <c r="B97" s="12" t="s">
        <v>451</v>
      </c>
      <c r="C97" s="13" t="s">
        <v>462</v>
      </c>
      <c r="D97" s="21" t="s">
        <v>438</v>
      </c>
      <c r="I97" s="1">
        <v>30</v>
      </c>
    </row>
    <row r="98" spans="1:9" ht="15" x14ac:dyDescent="0.15">
      <c r="A98" s="20" t="s">
        <v>430</v>
      </c>
      <c r="B98" s="12" t="s">
        <v>452</v>
      </c>
      <c r="C98" s="13" t="s">
        <v>463</v>
      </c>
      <c r="D98" s="21" t="s">
        <v>439</v>
      </c>
      <c r="I98" s="1">
        <v>30</v>
      </c>
    </row>
    <row r="99" spans="1:9" ht="15" x14ac:dyDescent="0.15">
      <c r="A99" s="20" t="s">
        <v>431</v>
      </c>
      <c r="B99" s="12" t="s">
        <v>453</v>
      </c>
      <c r="C99" s="13" t="s">
        <v>464</v>
      </c>
      <c r="D99" s="21" t="s">
        <v>440</v>
      </c>
      <c r="I99" s="1">
        <v>30</v>
      </c>
    </row>
    <row r="100" spans="1:9" ht="15" x14ac:dyDescent="0.15">
      <c r="A100" s="20" t="s">
        <v>432</v>
      </c>
      <c r="B100" s="12" t="s">
        <v>454</v>
      </c>
      <c r="C100" s="18" t="s">
        <v>409</v>
      </c>
      <c r="D100" s="21" t="s">
        <v>441</v>
      </c>
      <c r="I100" s="1">
        <v>30</v>
      </c>
    </row>
    <row r="101" spans="1:9" ht="15" x14ac:dyDescent="0.15">
      <c r="A101" s="23" t="s">
        <v>502</v>
      </c>
      <c r="B101" s="12" t="s">
        <v>492</v>
      </c>
      <c r="C101" s="18" t="s">
        <v>409</v>
      </c>
      <c r="D101" s="27" t="s">
        <v>481</v>
      </c>
      <c r="I101" s="1">
        <v>90</v>
      </c>
    </row>
    <row r="102" spans="1:9" ht="15" x14ac:dyDescent="0.15">
      <c r="A102" s="23" t="s">
        <v>504</v>
      </c>
      <c r="B102" s="12" t="s">
        <v>503</v>
      </c>
      <c r="C102" s="18" t="s">
        <v>409</v>
      </c>
      <c r="D102" s="27" t="s">
        <v>482</v>
      </c>
      <c r="I102" s="1">
        <v>90</v>
      </c>
    </row>
    <row r="103" spans="1:9" ht="15" x14ac:dyDescent="0.15">
      <c r="A103" s="23" t="s">
        <v>505</v>
      </c>
      <c r="B103" s="12" t="s">
        <v>493</v>
      </c>
      <c r="C103" s="18" t="s">
        <v>409</v>
      </c>
      <c r="D103" s="27" t="s">
        <v>483</v>
      </c>
      <c r="I103" s="1">
        <v>90</v>
      </c>
    </row>
    <row r="104" spans="1:9" ht="15" x14ac:dyDescent="0.15">
      <c r="A104" s="23" t="s">
        <v>506</v>
      </c>
      <c r="B104" s="12" t="s">
        <v>494</v>
      </c>
      <c r="C104" s="18" t="s">
        <v>409</v>
      </c>
      <c r="D104" s="27" t="s">
        <v>486</v>
      </c>
      <c r="I104" s="1">
        <v>90</v>
      </c>
    </row>
    <row r="105" spans="1:9" ht="15" x14ac:dyDescent="0.15">
      <c r="A105" s="23" t="s">
        <v>507</v>
      </c>
      <c r="B105" s="12" t="s">
        <v>495</v>
      </c>
      <c r="C105" s="18" t="s">
        <v>409</v>
      </c>
      <c r="D105" s="27" t="s">
        <v>484</v>
      </c>
      <c r="I105" s="1">
        <v>90</v>
      </c>
    </row>
    <row r="106" spans="1:9" ht="15" x14ac:dyDescent="0.15">
      <c r="A106" s="23" t="s">
        <v>508</v>
      </c>
      <c r="B106" s="12" t="s">
        <v>496</v>
      </c>
      <c r="C106" s="18" t="s">
        <v>409</v>
      </c>
      <c r="D106" s="27" t="s">
        <v>485</v>
      </c>
      <c r="I106" s="1">
        <v>90</v>
      </c>
    </row>
    <row r="107" spans="1:9" ht="15" x14ac:dyDescent="0.15">
      <c r="A107" s="23" t="s">
        <v>509</v>
      </c>
      <c r="B107" s="12" t="s">
        <v>497</v>
      </c>
      <c r="C107" s="18" t="s">
        <v>409</v>
      </c>
      <c r="D107" s="27" t="s">
        <v>486</v>
      </c>
      <c r="I107" s="1">
        <v>90</v>
      </c>
    </row>
    <row r="108" spans="1:9" ht="15" x14ac:dyDescent="0.15">
      <c r="A108" s="23" t="s">
        <v>510</v>
      </c>
      <c r="B108" s="12" t="s">
        <v>498</v>
      </c>
      <c r="C108" s="18" t="s">
        <v>409</v>
      </c>
      <c r="D108" s="27" t="s">
        <v>487</v>
      </c>
      <c r="I108" s="1">
        <v>90</v>
      </c>
    </row>
    <row r="109" spans="1:9" ht="15" x14ac:dyDescent="0.15">
      <c r="A109" s="23" t="s">
        <v>511</v>
      </c>
      <c r="B109" s="12" t="s">
        <v>499</v>
      </c>
      <c r="C109" s="18" t="s">
        <v>409</v>
      </c>
      <c r="D109" s="27" t="s">
        <v>488</v>
      </c>
      <c r="I109" s="1">
        <v>90</v>
      </c>
    </row>
    <row r="110" spans="1:9" ht="15" x14ac:dyDescent="0.15">
      <c r="A110" s="23" t="s">
        <v>512</v>
      </c>
      <c r="B110" s="12" t="s">
        <v>500</v>
      </c>
      <c r="C110" s="18" t="s">
        <v>409</v>
      </c>
      <c r="D110" s="27" t="s">
        <v>489</v>
      </c>
      <c r="I110" s="1">
        <v>90</v>
      </c>
    </row>
    <row r="111" spans="1:9" ht="15" x14ac:dyDescent="0.15">
      <c r="A111" s="24" t="s">
        <v>490</v>
      </c>
      <c r="B111" s="12" t="s">
        <v>501</v>
      </c>
      <c r="C111" s="18" t="s">
        <v>409</v>
      </c>
      <c r="D111" s="2" t="s">
        <v>491</v>
      </c>
      <c r="I111" s="1">
        <v>60</v>
      </c>
    </row>
    <row r="112" spans="1:9" ht="15" x14ac:dyDescent="0.15">
      <c r="A112" s="24" t="s">
        <v>513</v>
      </c>
      <c r="B112" s="12" t="s">
        <v>516</v>
      </c>
      <c r="C112" s="18" t="s">
        <v>409</v>
      </c>
      <c r="D112" s="2" t="s">
        <v>514</v>
      </c>
      <c r="I112" s="1">
        <v>90</v>
      </c>
    </row>
    <row r="113" spans="2:2" ht="15" x14ac:dyDescent="0.15">
      <c r="B113" s="12"/>
    </row>
  </sheetData>
  <phoneticPr fontId="7" type="noConversion"/>
  <conditionalFormatting sqref="D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22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390</v>
      </c>
    </row>
    <row r="39" spans="1:1" ht="15" x14ac:dyDescent="0.15">
      <c r="A39" s="1" t="s">
        <v>393</v>
      </c>
    </row>
    <row r="40" spans="1:1" ht="15" x14ac:dyDescent="0.15">
      <c r="A40" s="1" t="s">
        <v>391</v>
      </c>
    </row>
    <row r="41" spans="1:1" ht="15" x14ac:dyDescent="0.15">
      <c r="A41" s="1" t="s">
        <v>394</v>
      </c>
    </row>
    <row r="42" spans="1:1" ht="15" x14ac:dyDescent="0.15">
      <c r="A42" s="1" t="s">
        <v>392</v>
      </c>
    </row>
    <row r="43" spans="1:1" ht="15" x14ac:dyDescent="0.15">
      <c r="A43" s="1" t="s">
        <v>395</v>
      </c>
    </row>
    <row r="44" spans="1:1" ht="15" x14ac:dyDescent="0.15">
      <c r="A44" s="1" t="s">
        <v>398</v>
      </c>
    </row>
    <row r="45" spans="1:1" ht="15" x14ac:dyDescent="0.15">
      <c r="A45" s="1" t="s">
        <v>399</v>
      </c>
    </row>
    <row r="46" spans="1:1" ht="15" x14ac:dyDescent="0.15">
      <c r="A46" s="1" t="s">
        <v>400</v>
      </c>
    </row>
    <row r="47" spans="1:1" ht="15" x14ac:dyDescent="0.15">
      <c r="A47" s="1" t="s">
        <v>401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opLeftCell="A77" workbookViewId="0">
      <selection activeCell="J109" sqref="J109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219</v>
      </c>
      <c r="D2" s="6" t="s">
        <v>220</v>
      </c>
      <c r="E2" s="3" t="s">
        <v>221</v>
      </c>
      <c r="F2" s="3" t="s">
        <v>222</v>
      </c>
      <c r="G2" s="3" t="s">
        <v>411</v>
      </c>
    </row>
    <row r="3" spans="1:11" ht="15" x14ac:dyDescent="0.15">
      <c r="B3" s="6" t="s">
        <v>217</v>
      </c>
      <c r="C3" s="4" t="s">
        <v>218</v>
      </c>
      <c r="D3" s="4" t="s">
        <v>224</v>
      </c>
      <c r="E3" s="4" t="s">
        <v>225</v>
      </c>
      <c r="F3" s="4" t="s">
        <v>226</v>
      </c>
      <c r="G3" s="1" t="s">
        <v>410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517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227</v>
      </c>
      <c r="C5" s="7" t="s">
        <v>223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228</v>
      </c>
      <c r="C6" s="7" t="s">
        <v>223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229</v>
      </c>
      <c r="C7" s="7" t="s">
        <v>223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230</v>
      </c>
      <c r="C8" s="7" t="s">
        <v>223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231</v>
      </c>
      <c r="C9" s="7" t="s">
        <v>223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232</v>
      </c>
      <c r="C10" s="7" t="s">
        <v>223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233</v>
      </c>
      <c r="C11" s="7" t="s">
        <v>223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234</v>
      </c>
      <c r="C12" s="7" t="s">
        <v>223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235</v>
      </c>
      <c r="C13" s="7" t="s">
        <v>223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236</v>
      </c>
      <c r="C14" s="7" t="s">
        <v>223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237</v>
      </c>
      <c r="C15" s="7" t="s">
        <v>223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238</v>
      </c>
      <c r="C16" s="7" t="s">
        <v>223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239</v>
      </c>
      <c r="C17" s="7" t="s">
        <v>223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240</v>
      </c>
      <c r="C18" s="7" t="s">
        <v>223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241</v>
      </c>
      <c r="C19" s="7" t="s">
        <v>223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242</v>
      </c>
      <c r="C20" s="7" t="s">
        <v>223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243</v>
      </c>
      <c r="C21" s="7" t="s">
        <v>223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244</v>
      </c>
      <c r="C22" s="7" t="s">
        <v>223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245</v>
      </c>
      <c r="C23" s="7" t="s">
        <v>223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246</v>
      </c>
      <c r="C24" s="7" t="s">
        <v>223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247</v>
      </c>
      <c r="C25" s="7" t="s">
        <v>307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248</v>
      </c>
      <c r="C26" s="7" t="s">
        <v>307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249</v>
      </c>
      <c r="C27" s="7" t="s">
        <v>307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250</v>
      </c>
      <c r="C28" s="7" t="s">
        <v>307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251</v>
      </c>
      <c r="C29" s="7" t="s">
        <v>307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252</v>
      </c>
      <c r="C30" s="7" t="s">
        <v>307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253</v>
      </c>
      <c r="C31" s="7" t="s">
        <v>307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254</v>
      </c>
      <c r="C32" s="7" t="s">
        <v>307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255</v>
      </c>
      <c r="C33" s="7" t="s">
        <v>307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256</v>
      </c>
      <c r="C34" s="7" t="s">
        <v>307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257</v>
      </c>
      <c r="C35" s="7" t="s">
        <v>307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258</v>
      </c>
      <c r="C36" s="7" t="s">
        <v>307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259</v>
      </c>
      <c r="C37" s="7" t="s">
        <v>307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260</v>
      </c>
      <c r="C38" s="7" t="s">
        <v>307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261</v>
      </c>
      <c r="C39" s="7" t="s">
        <v>307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262</v>
      </c>
      <c r="C40" s="7" t="s">
        <v>307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263</v>
      </c>
      <c r="C41" s="7" t="s">
        <v>307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264</v>
      </c>
      <c r="C42" s="7" t="s">
        <v>307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265</v>
      </c>
      <c r="C43" s="7" t="s">
        <v>307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266</v>
      </c>
      <c r="C44" s="7" t="s">
        <v>307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267</v>
      </c>
      <c r="C45" s="8" t="s">
        <v>308</v>
      </c>
      <c r="D45" s="7">
        <v>1.7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268</v>
      </c>
      <c r="C46" s="8" t="s">
        <v>308</v>
      </c>
      <c r="D46" s="7">
        <v>1.2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269</v>
      </c>
      <c r="C47" s="8" t="s">
        <v>308</v>
      </c>
      <c r="D47" s="7">
        <v>1.2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270</v>
      </c>
      <c r="C48" s="8" t="s">
        <v>308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271</v>
      </c>
      <c r="C49" s="8" t="s">
        <v>308</v>
      </c>
      <c r="D49" s="7">
        <v>1.2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272</v>
      </c>
      <c r="C50" s="8" t="s">
        <v>308</v>
      </c>
      <c r="D50" s="7">
        <v>1.4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273</v>
      </c>
      <c r="C51" s="8" t="s">
        <v>308</v>
      </c>
      <c r="D51" s="7">
        <v>1.2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274</v>
      </c>
      <c r="C52" s="8" t="s">
        <v>308</v>
      </c>
      <c r="D52" s="7">
        <v>1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275</v>
      </c>
      <c r="C53" s="8" t="s">
        <v>308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276</v>
      </c>
      <c r="C54" s="8" t="s">
        <v>308</v>
      </c>
      <c r="D54" s="7">
        <v>1.5999999999999999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277</v>
      </c>
      <c r="C55" s="8" t="s">
        <v>308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278</v>
      </c>
      <c r="C56" s="8" t="s">
        <v>308</v>
      </c>
      <c r="D56" s="7">
        <v>1.2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279</v>
      </c>
      <c r="C57" s="8" t="s">
        <v>308</v>
      </c>
      <c r="D57" s="7">
        <v>1.2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280</v>
      </c>
      <c r="C58" s="8" t="s">
        <v>308</v>
      </c>
      <c r="D58" s="7">
        <v>1.2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281</v>
      </c>
      <c r="C59" s="8" t="s">
        <v>308</v>
      </c>
      <c r="D59" s="7">
        <v>0.89999999999999991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282</v>
      </c>
      <c r="C60" s="8" t="s">
        <v>308</v>
      </c>
      <c r="D60" s="7">
        <v>0.89999999999999991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283</v>
      </c>
      <c r="C61" s="8" t="s">
        <v>308</v>
      </c>
      <c r="D61" s="7">
        <v>1.2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284</v>
      </c>
      <c r="C62" s="8" t="s">
        <v>308</v>
      </c>
      <c r="D62" s="7">
        <v>1.2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285</v>
      </c>
      <c r="C63" s="8" t="s">
        <v>308</v>
      </c>
      <c r="D63" s="7">
        <v>0.89999999999999991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286</v>
      </c>
      <c r="C64" s="8" t="s">
        <v>308</v>
      </c>
      <c r="D64" s="7">
        <v>0.8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287</v>
      </c>
      <c r="C65" s="7" t="s">
        <v>309</v>
      </c>
      <c r="D65" s="7">
        <v>1.9000000000000001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288</v>
      </c>
      <c r="C66" s="7" t="s">
        <v>309</v>
      </c>
      <c r="D66" s="7">
        <v>1.9000000000000001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289</v>
      </c>
      <c r="C67" s="7" t="s">
        <v>309</v>
      </c>
      <c r="D67" s="7">
        <v>1.5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290</v>
      </c>
      <c r="C68" s="7" t="s">
        <v>309</v>
      </c>
      <c r="D68" s="7">
        <v>1.5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291</v>
      </c>
      <c r="C69" s="7" t="s">
        <v>309</v>
      </c>
      <c r="D69" s="7">
        <v>1.5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292</v>
      </c>
      <c r="C70" s="7" t="s">
        <v>309</v>
      </c>
      <c r="D70" s="7">
        <v>1.9000000000000001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293</v>
      </c>
      <c r="C71" s="7" t="s">
        <v>309</v>
      </c>
      <c r="D71" s="7">
        <v>1.5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294</v>
      </c>
      <c r="C72" s="7" t="s">
        <v>309</v>
      </c>
      <c r="D72" s="7">
        <v>1.9000000000000001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295</v>
      </c>
      <c r="C73" s="7" t="s">
        <v>309</v>
      </c>
      <c r="D73" s="7">
        <v>1.9000000000000001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296</v>
      </c>
      <c r="C74" s="7" t="s">
        <v>309</v>
      </c>
      <c r="D74" s="7">
        <v>1.5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297</v>
      </c>
      <c r="C75" s="7" t="s">
        <v>309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298</v>
      </c>
      <c r="C76" s="7" t="s">
        <v>309</v>
      </c>
      <c r="D76" s="7">
        <v>1.5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299</v>
      </c>
      <c r="C77" s="7" t="s">
        <v>309</v>
      </c>
      <c r="D77" s="7">
        <v>1.7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300</v>
      </c>
      <c r="C78" s="7" t="s">
        <v>309</v>
      </c>
      <c r="D78" s="7">
        <v>1.5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301</v>
      </c>
      <c r="C79" s="7" t="s">
        <v>309</v>
      </c>
      <c r="D79" s="7">
        <v>1.5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302</v>
      </c>
      <c r="C80" s="7" t="s">
        <v>309</v>
      </c>
      <c r="D80" s="7">
        <v>1.2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303</v>
      </c>
      <c r="C81" s="7" t="s">
        <v>309</v>
      </c>
      <c r="D81" s="7">
        <v>1.5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304</v>
      </c>
      <c r="C82" s="7" t="s">
        <v>309</v>
      </c>
      <c r="D82" s="7">
        <v>1.0999999999999999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305</v>
      </c>
      <c r="C83" s="7" t="s">
        <v>309</v>
      </c>
      <c r="D83" s="7">
        <v>1.5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306</v>
      </c>
      <c r="C84" s="7" t="s">
        <v>309</v>
      </c>
      <c r="D84" s="7">
        <v>1.2</v>
      </c>
      <c r="E84" s="9">
        <v>20</v>
      </c>
      <c r="F84" s="9">
        <v>5</v>
      </c>
    </row>
    <row r="85" spans="1:7" ht="15" x14ac:dyDescent="0.15">
      <c r="A85" s="8" t="s">
        <v>402</v>
      </c>
      <c r="B85" s="12" t="s">
        <v>405</v>
      </c>
      <c r="C85" s="7"/>
      <c r="D85" s="7"/>
      <c r="E85" s="9"/>
      <c r="F85" s="9"/>
      <c r="G85" t="s">
        <v>413</v>
      </c>
    </row>
    <row r="86" spans="1:7" ht="15" x14ac:dyDescent="0.15">
      <c r="A86" s="8" t="s">
        <v>404</v>
      </c>
      <c r="B86" s="12" t="s">
        <v>406</v>
      </c>
      <c r="C86" s="7"/>
      <c r="D86" s="7"/>
      <c r="E86" s="9"/>
      <c r="F86" s="9"/>
      <c r="G86" t="s">
        <v>414</v>
      </c>
    </row>
    <row r="87" spans="1:7" ht="15" x14ac:dyDescent="0.15">
      <c r="A87" s="8" t="s">
        <v>407</v>
      </c>
      <c r="B87" s="12" t="s">
        <v>408</v>
      </c>
      <c r="G87" t="s">
        <v>412</v>
      </c>
    </row>
    <row r="88" spans="1:7" ht="15" x14ac:dyDescent="0.15">
      <c r="A88" s="8" t="s">
        <v>415</v>
      </c>
      <c r="B88" s="12" t="s">
        <v>442</v>
      </c>
    </row>
    <row r="89" spans="1:7" ht="15" x14ac:dyDescent="0.15">
      <c r="A89" s="19" t="s">
        <v>418</v>
      </c>
      <c r="B89" s="12" t="s">
        <v>443</v>
      </c>
    </row>
    <row r="90" spans="1:7" ht="15" x14ac:dyDescent="0.15">
      <c r="A90" s="8" t="s">
        <v>420</v>
      </c>
      <c r="B90" s="12" t="s">
        <v>444</v>
      </c>
    </row>
    <row r="91" spans="1:7" ht="15" x14ac:dyDescent="0.15">
      <c r="A91" s="20" t="s">
        <v>425</v>
      </c>
      <c r="B91" s="12" t="s">
        <v>445</v>
      </c>
    </row>
    <row r="92" spans="1:7" ht="15" x14ac:dyDescent="0.15">
      <c r="A92" s="8" t="s">
        <v>422</v>
      </c>
      <c r="B92" s="12" t="s">
        <v>446</v>
      </c>
      <c r="G92" t="s">
        <v>455</v>
      </c>
    </row>
    <row r="93" spans="1:7" ht="15" x14ac:dyDescent="0.15">
      <c r="A93" s="20" t="s">
        <v>424</v>
      </c>
      <c r="B93" s="12" t="s">
        <v>447</v>
      </c>
    </row>
    <row r="94" spans="1:7" ht="15" x14ac:dyDescent="0.15">
      <c r="A94" s="20" t="s">
        <v>426</v>
      </c>
      <c r="B94" s="12" t="s">
        <v>448</v>
      </c>
    </row>
    <row r="95" spans="1:7" ht="15" x14ac:dyDescent="0.15">
      <c r="A95" s="20" t="s">
        <v>427</v>
      </c>
      <c r="B95" s="12" t="s">
        <v>449</v>
      </c>
    </row>
    <row r="96" spans="1:7" ht="15" x14ac:dyDescent="0.15">
      <c r="A96" s="20" t="s">
        <v>428</v>
      </c>
      <c r="B96" s="12" t="s">
        <v>450</v>
      </c>
      <c r="G96" t="s">
        <v>456</v>
      </c>
    </row>
    <row r="97" spans="1:7" ht="15" x14ac:dyDescent="0.15">
      <c r="A97" s="20" t="s">
        <v>429</v>
      </c>
      <c r="B97" s="12" t="s">
        <v>451</v>
      </c>
      <c r="G97" t="s">
        <v>457</v>
      </c>
    </row>
    <row r="98" spans="1:7" ht="15" x14ac:dyDescent="0.15">
      <c r="A98" s="20" t="s">
        <v>430</v>
      </c>
      <c r="B98" s="12" t="s">
        <v>452</v>
      </c>
    </row>
    <row r="99" spans="1:7" ht="15" x14ac:dyDescent="0.15">
      <c r="A99" s="20" t="s">
        <v>431</v>
      </c>
      <c r="B99" s="12" t="s">
        <v>453</v>
      </c>
    </row>
    <row r="100" spans="1:7" ht="15" x14ac:dyDescent="0.15">
      <c r="A100" s="20" t="s">
        <v>432</v>
      </c>
      <c r="B100" s="12" t="s">
        <v>454</v>
      </c>
      <c r="G100" t="s">
        <v>458</v>
      </c>
    </row>
    <row r="101" spans="1:7" ht="15" x14ac:dyDescent="0.15">
      <c r="A101" s="23" t="s">
        <v>502</v>
      </c>
      <c r="B101" s="12" t="s">
        <v>492</v>
      </c>
      <c r="C101" s="7" t="s">
        <v>309</v>
      </c>
      <c r="D101">
        <v>2.1999999999999997</v>
      </c>
      <c r="E101">
        <v>1</v>
      </c>
      <c r="F101">
        <v>1</v>
      </c>
    </row>
    <row r="102" spans="1:7" ht="15" x14ac:dyDescent="0.15">
      <c r="A102" s="23" t="s">
        <v>504</v>
      </c>
      <c r="B102" s="12" t="s">
        <v>503</v>
      </c>
      <c r="C102" s="7" t="s">
        <v>309</v>
      </c>
      <c r="D102">
        <v>2.1999999999999997</v>
      </c>
      <c r="E102">
        <v>1</v>
      </c>
      <c r="F102">
        <v>1</v>
      </c>
    </row>
    <row r="103" spans="1:7" ht="15" x14ac:dyDescent="0.15">
      <c r="A103" s="23" t="s">
        <v>505</v>
      </c>
      <c r="B103" s="12" t="s">
        <v>493</v>
      </c>
      <c r="C103" s="7" t="s">
        <v>309</v>
      </c>
      <c r="D103">
        <v>1.9999999999999998</v>
      </c>
      <c r="E103">
        <v>1</v>
      </c>
      <c r="F103">
        <v>1</v>
      </c>
    </row>
    <row r="104" spans="1:7" ht="15" x14ac:dyDescent="0.15">
      <c r="A104" s="23" t="s">
        <v>506</v>
      </c>
      <c r="B104" s="12" t="s">
        <v>494</v>
      </c>
      <c r="C104" s="7" t="s">
        <v>309</v>
      </c>
      <c r="D104">
        <v>1.7</v>
      </c>
      <c r="E104">
        <v>1</v>
      </c>
      <c r="F104">
        <v>1</v>
      </c>
    </row>
    <row r="105" spans="1:7" ht="15" x14ac:dyDescent="0.15">
      <c r="A105" s="23" t="s">
        <v>507</v>
      </c>
      <c r="B105" s="12" t="s">
        <v>495</v>
      </c>
      <c r="C105" s="7" t="s">
        <v>309</v>
      </c>
      <c r="D105">
        <v>2.6999999999999997</v>
      </c>
      <c r="E105">
        <v>1</v>
      </c>
      <c r="F105">
        <v>1</v>
      </c>
    </row>
    <row r="106" spans="1:7" ht="15" x14ac:dyDescent="0.15">
      <c r="A106" s="23" t="s">
        <v>508</v>
      </c>
      <c r="B106" s="12" t="s">
        <v>496</v>
      </c>
      <c r="C106" s="7" t="s">
        <v>309</v>
      </c>
      <c r="D106">
        <v>4.8</v>
      </c>
      <c r="E106">
        <v>1</v>
      </c>
      <c r="F106">
        <v>1</v>
      </c>
    </row>
    <row r="107" spans="1:7" ht="15" x14ac:dyDescent="0.15">
      <c r="A107" s="23" t="s">
        <v>509</v>
      </c>
      <c r="B107" s="12" t="s">
        <v>497</v>
      </c>
      <c r="C107" s="7" t="s">
        <v>309</v>
      </c>
      <c r="D107">
        <v>1.7</v>
      </c>
      <c r="E107">
        <v>1</v>
      </c>
      <c r="F107">
        <v>1</v>
      </c>
    </row>
    <row r="108" spans="1:7" ht="15" x14ac:dyDescent="0.15">
      <c r="A108" s="23" t="s">
        <v>510</v>
      </c>
      <c r="B108" s="12" t="s">
        <v>498</v>
      </c>
      <c r="C108" s="7" t="s">
        <v>309</v>
      </c>
      <c r="D108">
        <v>2.1999999999999997</v>
      </c>
      <c r="E108">
        <v>1</v>
      </c>
      <c r="F108">
        <v>1</v>
      </c>
    </row>
    <row r="109" spans="1:7" ht="15" x14ac:dyDescent="0.15">
      <c r="A109" s="23" t="s">
        <v>511</v>
      </c>
      <c r="B109" s="12" t="s">
        <v>499</v>
      </c>
      <c r="C109" s="7" t="s">
        <v>309</v>
      </c>
      <c r="D109">
        <v>1.9999999999999998</v>
      </c>
      <c r="E109">
        <v>1</v>
      </c>
      <c r="F109">
        <v>1</v>
      </c>
    </row>
    <row r="110" spans="1:7" ht="15" x14ac:dyDescent="0.15">
      <c r="A110" s="23" t="s">
        <v>512</v>
      </c>
      <c r="B110" s="12" t="s">
        <v>500</v>
      </c>
      <c r="C110" s="7" t="s">
        <v>309</v>
      </c>
      <c r="D110">
        <v>1.7</v>
      </c>
      <c r="E110">
        <v>1</v>
      </c>
      <c r="F110">
        <v>1</v>
      </c>
    </row>
    <row r="111" spans="1:7" ht="15" x14ac:dyDescent="0.15">
      <c r="A111" s="24" t="s">
        <v>490</v>
      </c>
      <c r="B111" s="12" t="s">
        <v>501</v>
      </c>
      <c r="C111" s="7" t="s">
        <v>309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abSelected="1" workbookViewId="0">
      <selection activeCell="G17" sqref="G17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387</v>
      </c>
      <c r="C1" s="33"/>
      <c r="D1" s="33"/>
      <c r="G1" s="13" t="s">
        <v>388</v>
      </c>
      <c r="H1" s="13" t="s">
        <v>388</v>
      </c>
      <c r="I1" s="13" t="s">
        <v>388</v>
      </c>
      <c r="J1" s="13" t="s">
        <v>388</v>
      </c>
      <c r="K1" s="13" t="s">
        <v>388</v>
      </c>
      <c r="L1" s="13" t="s">
        <v>388</v>
      </c>
      <c r="M1" s="13" t="s">
        <v>388</v>
      </c>
      <c r="N1" s="13" t="s">
        <v>388</v>
      </c>
      <c r="O1" s="13" t="s">
        <v>388</v>
      </c>
    </row>
    <row r="2" spans="1:16" x14ac:dyDescent="0.15">
      <c r="A2" t="s">
        <v>1</v>
      </c>
      <c r="B2" t="s">
        <v>1</v>
      </c>
      <c r="C2" s="13" t="s">
        <v>323</v>
      </c>
      <c r="D2" s="14" t="s">
        <v>384</v>
      </c>
      <c r="E2" s="13" t="s">
        <v>385</v>
      </c>
      <c r="F2" s="34" t="s">
        <v>386</v>
      </c>
      <c r="G2" s="34"/>
      <c r="H2" s="34"/>
    </row>
    <row r="3" spans="1:16" ht="15" x14ac:dyDescent="0.15">
      <c r="A3" s="15"/>
      <c r="B3" s="15" t="s">
        <v>321</v>
      </c>
      <c r="C3" s="35" t="s">
        <v>322</v>
      </c>
      <c r="D3" s="7" t="s">
        <v>310</v>
      </c>
      <c r="E3" s="7" t="s">
        <v>311</v>
      </c>
      <c r="F3" s="35" t="s">
        <v>320</v>
      </c>
      <c r="G3" s="7" t="s">
        <v>312</v>
      </c>
      <c r="H3" s="7" t="s">
        <v>313</v>
      </c>
      <c r="I3" s="7" t="s">
        <v>314</v>
      </c>
      <c r="J3" s="7" t="s">
        <v>315</v>
      </c>
      <c r="K3" s="7" t="s">
        <v>316</v>
      </c>
      <c r="L3" s="7" t="s">
        <v>317</v>
      </c>
      <c r="M3" s="7" t="s">
        <v>318</v>
      </c>
      <c r="N3" s="7" t="s">
        <v>319</v>
      </c>
      <c r="O3" s="8" t="s">
        <v>389</v>
      </c>
      <c r="P3" s="8" t="s">
        <v>466</v>
      </c>
    </row>
    <row r="4" spans="1:16" ht="15" x14ac:dyDescent="0.15">
      <c r="A4" s="16" t="s">
        <v>324</v>
      </c>
      <c r="B4" s="16" t="s">
        <v>324</v>
      </c>
      <c r="C4" s="28">
        <v>1</v>
      </c>
      <c r="D4" s="29">
        <v>15</v>
      </c>
      <c r="E4" s="29">
        <v>25</v>
      </c>
      <c r="F4" s="36">
        <v>1</v>
      </c>
      <c r="G4" s="32">
        <v>10</v>
      </c>
      <c r="H4" s="32">
        <v>0</v>
      </c>
      <c r="I4" s="32">
        <v>120</v>
      </c>
      <c r="J4" s="32">
        <f>I4/2</f>
        <v>60</v>
      </c>
      <c r="K4" s="32">
        <v>325</v>
      </c>
      <c r="L4" s="32">
        <v>1.25</v>
      </c>
      <c r="M4" s="32">
        <f>I4*0.01*0.5</f>
        <v>0.6</v>
      </c>
      <c r="N4" s="32">
        <f>J4*0.01</f>
        <v>0.6</v>
      </c>
      <c r="O4" s="7">
        <v>125</v>
      </c>
      <c r="P4" s="32">
        <v>20</v>
      </c>
    </row>
    <row r="5" spans="1:16" ht="15" x14ac:dyDescent="0.15">
      <c r="A5" s="16" t="s">
        <v>325</v>
      </c>
      <c r="B5" s="16" t="s">
        <v>325</v>
      </c>
      <c r="C5" s="28">
        <v>2</v>
      </c>
      <c r="D5" s="29">
        <f>D4+0.5</f>
        <v>15.5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f>(I4+200)*1.185</f>
        <v>379.20000000000005</v>
      </c>
      <c r="J5" s="32">
        <f t="shared" ref="J5:J63" si="0">I5/2</f>
        <v>189.60000000000002</v>
      </c>
      <c r="K5" s="32">
        <v>325</v>
      </c>
      <c r="L5" s="32">
        <v>1.25</v>
      </c>
      <c r="M5" s="32">
        <f t="shared" ref="M5:M68" si="1">I5*0.01*0.5</f>
        <v>1.8960000000000004</v>
      </c>
      <c r="N5" s="32">
        <f t="shared" ref="N5:N68" si="2">J5*0.01</f>
        <v>1.8960000000000004</v>
      </c>
      <c r="O5" s="7">
        <v>125</v>
      </c>
      <c r="P5" s="32">
        <v>20</v>
      </c>
    </row>
    <row r="6" spans="1:16" ht="15" x14ac:dyDescent="0.15">
      <c r="A6" s="16" t="s">
        <v>326</v>
      </c>
      <c r="B6" s="16" t="s">
        <v>326</v>
      </c>
      <c r="C6" s="28">
        <v>3</v>
      </c>
      <c r="D6" s="29">
        <f t="shared" ref="D6:D63" si="3">D5+0.5</f>
        <v>16</v>
      </c>
      <c r="E6" s="29">
        <f t="shared" ref="E6:E63" si="4">E5+7.5</f>
        <v>40</v>
      </c>
      <c r="F6" s="36">
        <v>1</v>
      </c>
      <c r="G6" s="32">
        <f t="shared" ref="G6:G63" si="5">(G5+15)*1.18</f>
        <v>52.51</v>
      </c>
      <c r="H6" s="32">
        <f t="shared" ref="H6:H63" si="6">(H5+1)*1.097</f>
        <v>2.3004089999999997</v>
      </c>
      <c r="I6" s="32">
        <f t="shared" ref="I6:I63" si="7">(I5+200)*1.185</f>
        <v>686.35200000000009</v>
      </c>
      <c r="J6" s="32">
        <f t="shared" si="0"/>
        <v>343.17600000000004</v>
      </c>
      <c r="K6" s="32">
        <v>325</v>
      </c>
      <c r="L6" s="32">
        <v>1.25</v>
      </c>
      <c r="M6" s="32">
        <f t="shared" si="1"/>
        <v>3.4317600000000006</v>
      </c>
      <c r="N6" s="32">
        <f t="shared" si="2"/>
        <v>3.4317600000000006</v>
      </c>
      <c r="O6" s="7">
        <v>125</v>
      </c>
      <c r="P6" s="32">
        <v>20</v>
      </c>
    </row>
    <row r="7" spans="1:16" ht="15" x14ac:dyDescent="0.15">
      <c r="A7" s="16" t="s">
        <v>327</v>
      </c>
      <c r="B7" s="16" t="s">
        <v>327</v>
      </c>
      <c r="C7" s="28">
        <v>4</v>
      </c>
      <c r="D7" s="29">
        <f t="shared" si="3"/>
        <v>16.5</v>
      </c>
      <c r="E7" s="29">
        <f t="shared" si="4"/>
        <v>47.5</v>
      </c>
      <c r="F7" s="36">
        <v>1</v>
      </c>
      <c r="G7" s="32">
        <f t="shared" si="5"/>
        <v>79.661799999999985</v>
      </c>
      <c r="H7" s="32">
        <f t="shared" si="6"/>
        <v>3.6205486729999996</v>
      </c>
      <c r="I7" s="32">
        <f t="shared" si="7"/>
        <v>1050.3271200000001</v>
      </c>
      <c r="J7" s="32">
        <f t="shared" si="0"/>
        <v>525.16356000000007</v>
      </c>
      <c r="K7" s="32">
        <v>325</v>
      </c>
      <c r="L7" s="32">
        <v>1.25</v>
      </c>
      <c r="M7" s="32">
        <f t="shared" si="1"/>
        <v>5.2516356000000011</v>
      </c>
      <c r="N7" s="32">
        <f t="shared" si="2"/>
        <v>5.2516356000000011</v>
      </c>
      <c r="O7" s="7">
        <v>125</v>
      </c>
      <c r="P7" s="32">
        <v>20</v>
      </c>
    </row>
    <row r="8" spans="1:16" ht="15" x14ac:dyDescent="0.15">
      <c r="A8" s="16" t="s">
        <v>328</v>
      </c>
      <c r="B8" s="16" t="s">
        <v>328</v>
      </c>
      <c r="C8" s="28">
        <v>5</v>
      </c>
      <c r="D8" s="29">
        <f t="shared" si="3"/>
        <v>17</v>
      </c>
      <c r="E8" s="29">
        <f t="shared" si="4"/>
        <v>55</v>
      </c>
      <c r="F8" s="36">
        <v>1</v>
      </c>
      <c r="G8" s="32">
        <f t="shared" si="5"/>
        <v>111.70092399999997</v>
      </c>
      <c r="H8" s="32">
        <f t="shared" si="6"/>
        <v>5.0687418942809996</v>
      </c>
      <c r="I8" s="32">
        <f t="shared" si="7"/>
        <v>1481.6376372000002</v>
      </c>
      <c r="J8" s="32">
        <f t="shared" si="0"/>
        <v>740.8188186000001</v>
      </c>
      <c r="K8" s="32">
        <v>325</v>
      </c>
      <c r="L8" s="32">
        <v>1.25</v>
      </c>
      <c r="M8" s="32">
        <f t="shared" si="1"/>
        <v>7.4081881860000012</v>
      </c>
      <c r="N8" s="32">
        <f t="shared" si="2"/>
        <v>7.4081881860000012</v>
      </c>
      <c r="O8" s="7">
        <v>125</v>
      </c>
      <c r="P8" s="32">
        <v>20</v>
      </c>
    </row>
    <row r="9" spans="1:16" ht="15" x14ac:dyDescent="0.15">
      <c r="A9" s="16" t="s">
        <v>329</v>
      </c>
      <c r="B9" s="16" t="s">
        <v>329</v>
      </c>
      <c r="C9" s="28">
        <v>6</v>
      </c>
      <c r="D9" s="29">
        <f t="shared" si="3"/>
        <v>17.5</v>
      </c>
      <c r="E9" s="29">
        <f t="shared" si="4"/>
        <v>62.5</v>
      </c>
      <c r="F9" s="36">
        <v>1</v>
      </c>
      <c r="G9" s="32">
        <f t="shared" si="5"/>
        <v>149.50709031999995</v>
      </c>
      <c r="H9" s="32">
        <f t="shared" si="6"/>
        <v>6.6574098580262566</v>
      </c>
      <c r="I9" s="32">
        <f t="shared" si="7"/>
        <v>1992.7406000820004</v>
      </c>
      <c r="J9" s="32">
        <f t="shared" si="0"/>
        <v>996.37030004100018</v>
      </c>
      <c r="K9" s="32">
        <v>325</v>
      </c>
      <c r="L9" s="32">
        <v>1.25</v>
      </c>
      <c r="M9" s="32">
        <f t="shared" si="1"/>
        <v>9.9637030004100016</v>
      </c>
      <c r="N9" s="32">
        <f t="shared" si="2"/>
        <v>9.9637030004100016</v>
      </c>
      <c r="O9" s="7">
        <v>125</v>
      </c>
      <c r="P9" s="32">
        <v>30</v>
      </c>
    </row>
    <row r="10" spans="1:16" ht="15" x14ac:dyDescent="0.15">
      <c r="A10" s="16" t="s">
        <v>330</v>
      </c>
      <c r="B10" s="16" t="s">
        <v>330</v>
      </c>
      <c r="C10" s="28">
        <v>7</v>
      </c>
      <c r="D10" s="29">
        <f t="shared" si="3"/>
        <v>18</v>
      </c>
      <c r="E10" s="29">
        <f t="shared" si="4"/>
        <v>70</v>
      </c>
      <c r="F10" s="36">
        <v>1</v>
      </c>
      <c r="G10" s="32">
        <f t="shared" si="5"/>
        <v>194.11836657759991</v>
      </c>
      <c r="H10" s="32">
        <f t="shared" si="6"/>
        <v>8.4001786142548038</v>
      </c>
      <c r="I10" s="32">
        <f t="shared" si="7"/>
        <v>2598.3976110971703</v>
      </c>
      <c r="J10" s="32">
        <f t="shared" si="0"/>
        <v>1299.1988055485851</v>
      </c>
      <c r="K10" s="32">
        <v>325</v>
      </c>
      <c r="L10" s="32">
        <v>1.25</v>
      </c>
      <c r="M10" s="32">
        <f t="shared" si="1"/>
        <v>12.991988055485852</v>
      </c>
      <c r="N10" s="32">
        <f t="shared" si="2"/>
        <v>12.991988055485852</v>
      </c>
      <c r="O10" s="7">
        <v>125</v>
      </c>
      <c r="P10" s="32">
        <v>30</v>
      </c>
    </row>
    <row r="11" spans="1:16" ht="15" x14ac:dyDescent="0.15">
      <c r="A11" s="16" t="s">
        <v>331</v>
      </c>
      <c r="B11" s="16" t="s">
        <v>331</v>
      </c>
      <c r="C11" s="28">
        <v>8</v>
      </c>
      <c r="D11" s="29">
        <f t="shared" si="3"/>
        <v>18.5</v>
      </c>
      <c r="E11" s="29">
        <f t="shared" si="4"/>
        <v>77.5</v>
      </c>
      <c r="F11" s="36">
        <v>1</v>
      </c>
      <c r="G11" s="32">
        <f t="shared" si="5"/>
        <v>246.7596725615679</v>
      </c>
      <c r="H11" s="32">
        <f t="shared" si="6"/>
        <v>10.311995939837519</v>
      </c>
      <c r="I11" s="32">
        <f t="shared" si="7"/>
        <v>3316.1011691501471</v>
      </c>
      <c r="J11" s="32">
        <f t="shared" si="0"/>
        <v>1658.0505845750736</v>
      </c>
      <c r="K11" s="32">
        <v>325</v>
      </c>
      <c r="L11" s="32">
        <v>1.25</v>
      </c>
      <c r="M11" s="32">
        <f t="shared" si="1"/>
        <v>16.580505845750736</v>
      </c>
      <c r="N11" s="32">
        <f t="shared" si="2"/>
        <v>16.580505845750736</v>
      </c>
      <c r="O11" s="7">
        <v>125</v>
      </c>
      <c r="P11" s="32">
        <v>30</v>
      </c>
    </row>
    <row r="12" spans="1:16" ht="15" x14ac:dyDescent="0.15">
      <c r="A12" s="16" t="s">
        <v>332</v>
      </c>
      <c r="B12" s="16" t="s">
        <v>332</v>
      </c>
      <c r="C12" s="28">
        <v>9</v>
      </c>
      <c r="D12" s="29">
        <f t="shared" si="3"/>
        <v>19</v>
      </c>
      <c r="E12" s="29">
        <f t="shared" si="4"/>
        <v>85</v>
      </c>
      <c r="F12" s="36">
        <v>1</v>
      </c>
      <c r="G12" s="32">
        <f t="shared" si="5"/>
        <v>308.87641362265009</v>
      </c>
      <c r="H12" s="32">
        <f t="shared" si="6"/>
        <v>12.409259546001758</v>
      </c>
      <c r="I12" s="32">
        <f t="shared" si="7"/>
        <v>4166.5798854429249</v>
      </c>
      <c r="J12" s="32">
        <f t="shared" si="0"/>
        <v>2083.2899427214625</v>
      </c>
      <c r="K12" s="32">
        <v>325</v>
      </c>
      <c r="L12" s="32">
        <v>1.25</v>
      </c>
      <c r="M12" s="32">
        <f t="shared" si="1"/>
        <v>20.832899427214624</v>
      </c>
      <c r="N12" s="32">
        <f t="shared" si="2"/>
        <v>20.832899427214624</v>
      </c>
      <c r="O12" s="7">
        <v>125</v>
      </c>
      <c r="P12" s="32">
        <v>30</v>
      </c>
    </row>
    <row r="13" spans="1:16" ht="15" x14ac:dyDescent="0.15">
      <c r="A13" s="16" t="s">
        <v>333</v>
      </c>
      <c r="B13" s="16" t="s">
        <v>333</v>
      </c>
      <c r="C13" s="28">
        <v>10</v>
      </c>
      <c r="D13" s="29">
        <f t="shared" si="3"/>
        <v>19.5</v>
      </c>
      <c r="E13" s="29">
        <f t="shared" si="4"/>
        <v>92.5</v>
      </c>
      <c r="F13" s="36">
        <v>1</v>
      </c>
      <c r="G13" s="32">
        <f t="shared" si="5"/>
        <v>382.17416807472711</v>
      </c>
      <c r="H13" s="32">
        <f t="shared" si="6"/>
        <v>14.709957721963928</v>
      </c>
      <c r="I13" s="32">
        <f t="shared" si="7"/>
        <v>5174.3971642498664</v>
      </c>
      <c r="J13" s="32">
        <f t="shared" si="0"/>
        <v>2587.1985821249332</v>
      </c>
      <c r="K13" s="32">
        <v>325</v>
      </c>
      <c r="L13" s="32">
        <v>1.25</v>
      </c>
      <c r="M13" s="32">
        <f t="shared" si="1"/>
        <v>25.871985821249332</v>
      </c>
      <c r="N13" s="32">
        <f t="shared" si="2"/>
        <v>25.871985821249332</v>
      </c>
      <c r="O13" s="7">
        <v>125</v>
      </c>
      <c r="P13" s="32">
        <v>30</v>
      </c>
    </row>
    <row r="14" spans="1:16" ht="15" x14ac:dyDescent="0.15">
      <c r="A14" s="16" t="s">
        <v>334</v>
      </c>
      <c r="B14" s="16" t="s">
        <v>334</v>
      </c>
      <c r="C14" s="28">
        <v>11</v>
      </c>
      <c r="D14" s="29">
        <f t="shared" si="3"/>
        <v>20</v>
      </c>
      <c r="E14" s="29">
        <f t="shared" si="4"/>
        <v>100</v>
      </c>
      <c r="F14" s="36">
        <v>1</v>
      </c>
      <c r="G14" s="32">
        <f t="shared" si="5"/>
        <v>468.66551832817794</v>
      </c>
      <c r="H14" s="32">
        <f t="shared" si="6"/>
        <v>17.233823620994428</v>
      </c>
      <c r="I14" s="32">
        <f t="shared" si="7"/>
        <v>6368.6606396360921</v>
      </c>
      <c r="J14" s="32">
        <f t="shared" si="0"/>
        <v>3184.3303198180461</v>
      </c>
      <c r="K14" s="32">
        <v>325</v>
      </c>
      <c r="L14" s="32">
        <v>1.25</v>
      </c>
      <c r="M14" s="32">
        <f t="shared" si="1"/>
        <v>31.843303198180461</v>
      </c>
      <c r="N14" s="32">
        <f t="shared" si="2"/>
        <v>31.843303198180461</v>
      </c>
      <c r="O14" s="7">
        <v>125</v>
      </c>
      <c r="P14" s="32">
        <v>30</v>
      </c>
    </row>
    <row r="15" spans="1:16" ht="15" x14ac:dyDescent="0.15">
      <c r="A15" s="16" t="s">
        <v>335</v>
      </c>
      <c r="B15" s="16" t="s">
        <v>335</v>
      </c>
      <c r="C15" s="28">
        <v>12</v>
      </c>
      <c r="D15" s="29">
        <f t="shared" si="3"/>
        <v>20.5</v>
      </c>
      <c r="E15" s="29">
        <f t="shared" si="4"/>
        <v>107.5</v>
      </c>
      <c r="F15" s="36">
        <v>1</v>
      </c>
      <c r="G15" s="32">
        <f t="shared" si="5"/>
        <v>570.72531162724999</v>
      </c>
      <c r="H15" s="32">
        <f t="shared" si="6"/>
        <v>20.002504512230889</v>
      </c>
      <c r="I15" s="32">
        <f t="shared" si="7"/>
        <v>7783.8628579687693</v>
      </c>
      <c r="J15" s="32">
        <f t="shared" si="0"/>
        <v>3891.9314289843846</v>
      </c>
      <c r="K15" s="32">
        <v>325</v>
      </c>
      <c r="L15" s="32">
        <v>1.25</v>
      </c>
      <c r="M15" s="32">
        <f t="shared" si="1"/>
        <v>38.919314289843847</v>
      </c>
      <c r="N15" s="32">
        <f t="shared" si="2"/>
        <v>38.919314289843847</v>
      </c>
      <c r="O15" s="7">
        <v>125</v>
      </c>
      <c r="P15" s="32">
        <v>30</v>
      </c>
    </row>
    <row r="16" spans="1:16" ht="15" x14ac:dyDescent="0.15">
      <c r="A16" s="16" t="s">
        <v>336</v>
      </c>
      <c r="B16" s="16" t="s">
        <v>336</v>
      </c>
      <c r="C16" s="28">
        <v>13</v>
      </c>
      <c r="D16" s="29">
        <f t="shared" si="3"/>
        <v>21</v>
      </c>
      <c r="E16" s="29">
        <f t="shared" si="4"/>
        <v>115</v>
      </c>
      <c r="F16" s="36">
        <v>1</v>
      </c>
      <c r="G16" s="32">
        <f t="shared" si="5"/>
        <v>691.1558677201549</v>
      </c>
      <c r="H16" s="32">
        <f t="shared" si="6"/>
        <v>23.039747449917286</v>
      </c>
      <c r="I16" s="32">
        <f t="shared" si="7"/>
        <v>9460.8774866929925</v>
      </c>
      <c r="J16" s="32">
        <f t="shared" si="0"/>
        <v>4730.4387433464963</v>
      </c>
      <c r="K16" s="32">
        <v>325</v>
      </c>
      <c r="L16" s="32">
        <v>1.25</v>
      </c>
      <c r="M16" s="32">
        <f t="shared" si="1"/>
        <v>47.30438743346496</v>
      </c>
      <c r="N16" s="32">
        <f t="shared" si="2"/>
        <v>47.30438743346496</v>
      </c>
      <c r="O16" s="7">
        <v>125</v>
      </c>
      <c r="P16" s="32">
        <v>30</v>
      </c>
    </row>
    <row r="17" spans="1:16" ht="15" x14ac:dyDescent="0.15">
      <c r="A17" s="16" t="s">
        <v>337</v>
      </c>
      <c r="B17" s="16" t="s">
        <v>337</v>
      </c>
      <c r="C17" s="28">
        <v>14</v>
      </c>
      <c r="D17" s="29">
        <f t="shared" si="3"/>
        <v>21.5</v>
      </c>
      <c r="E17" s="29">
        <f t="shared" si="4"/>
        <v>122.5</v>
      </c>
      <c r="F17" s="36">
        <v>1</v>
      </c>
      <c r="G17" s="32">
        <f t="shared" si="5"/>
        <v>833.26392390978276</v>
      </c>
      <c r="H17" s="32">
        <f t="shared" si="6"/>
        <v>26.371602952559261</v>
      </c>
      <c r="I17" s="32">
        <f t="shared" si="7"/>
        <v>11448.139821731196</v>
      </c>
      <c r="J17" s="32">
        <f t="shared" si="0"/>
        <v>5724.0699108655981</v>
      </c>
      <c r="K17" s="32">
        <v>325</v>
      </c>
      <c r="L17" s="32">
        <v>1.25</v>
      </c>
      <c r="M17" s="32">
        <f t="shared" si="1"/>
        <v>57.240699108655981</v>
      </c>
      <c r="N17" s="32">
        <f t="shared" si="2"/>
        <v>57.240699108655981</v>
      </c>
      <c r="O17" s="7">
        <v>125</v>
      </c>
      <c r="P17" s="32">
        <v>30</v>
      </c>
    </row>
    <row r="18" spans="1:16" ht="15" x14ac:dyDescent="0.15">
      <c r="A18" s="16" t="s">
        <v>338</v>
      </c>
      <c r="B18" s="16" t="s">
        <v>338</v>
      </c>
      <c r="C18" s="28">
        <v>15</v>
      </c>
      <c r="D18" s="29">
        <f t="shared" si="3"/>
        <v>22</v>
      </c>
      <c r="E18" s="29">
        <f t="shared" si="4"/>
        <v>130</v>
      </c>
      <c r="F18" s="36">
        <v>1</v>
      </c>
      <c r="G18" s="32">
        <f t="shared" si="5"/>
        <v>1000.9514302135436</v>
      </c>
      <c r="H18" s="32">
        <f t="shared" si="6"/>
        <v>30.026648438957508</v>
      </c>
      <c r="I18" s="32">
        <f t="shared" si="7"/>
        <v>13803.045688751468</v>
      </c>
      <c r="J18" s="32">
        <f t="shared" si="0"/>
        <v>6901.5228443757342</v>
      </c>
      <c r="K18" s="32">
        <v>325</v>
      </c>
      <c r="L18" s="32">
        <v>1.25</v>
      </c>
      <c r="M18" s="32">
        <f t="shared" si="1"/>
        <v>69.015228443757337</v>
      </c>
      <c r="N18" s="32">
        <f t="shared" si="2"/>
        <v>69.015228443757337</v>
      </c>
      <c r="O18" s="7">
        <v>125</v>
      </c>
      <c r="P18" s="32">
        <v>30</v>
      </c>
    </row>
    <row r="19" spans="1:16" ht="15" x14ac:dyDescent="0.15">
      <c r="A19" s="16" t="s">
        <v>339</v>
      </c>
      <c r="B19" s="16" t="s">
        <v>339</v>
      </c>
      <c r="C19" s="28">
        <v>16</v>
      </c>
      <c r="D19" s="29">
        <f t="shared" si="3"/>
        <v>22.5</v>
      </c>
      <c r="E19" s="29">
        <f t="shared" si="4"/>
        <v>137.5</v>
      </c>
      <c r="F19" s="36">
        <v>1</v>
      </c>
      <c r="G19" s="32">
        <f t="shared" si="5"/>
        <v>1198.8226876519814</v>
      </c>
      <c r="H19" s="32">
        <f t="shared" si="6"/>
        <v>34.036233337536387</v>
      </c>
      <c r="I19" s="32">
        <f t="shared" si="7"/>
        <v>16593.609141170491</v>
      </c>
      <c r="J19" s="32">
        <f t="shared" si="0"/>
        <v>8296.8045705852455</v>
      </c>
      <c r="K19" s="32">
        <v>325</v>
      </c>
      <c r="L19" s="32">
        <v>1.25</v>
      </c>
      <c r="M19" s="32">
        <f t="shared" si="1"/>
        <v>82.968045705852461</v>
      </c>
      <c r="N19" s="32">
        <f t="shared" si="2"/>
        <v>82.968045705852461</v>
      </c>
      <c r="O19" s="7">
        <v>125</v>
      </c>
      <c r="P19" s="32">
        <v>40</v>
      </c>
    </row>
    <row r="20" spans="1:16" ht="15" x14ac:dyDescent="0.15">
      <c r="A20" s="16" t="s">
        <v>340</v>
      </c>
      <c r="B20" s="16" t="s">
        <v>340</v>
      </c>
      <c r="C20" s="28">
        <v>17</v>
      </c>
      <c r="D20" s="29">
        <f t="shared" si="3"/>
        <v>23</v>
      </c>
      <c r="E20" s="29">
        <f t="shared" si="4"/>
        <v>145</v>
      </c>
      <c r="F20" s="36">
        <v>1</v>
      </c>
      <c r="G20" s="32">
        <f t="shared" si="5"/>
        <v>1432.310771429338</v>
      </c>
      <c r="H20" s="32">
        <f t="shared" si="6"/>
        <v>38.434747971277417</v>
      </c>
      <c r="I20" s="32">
        <f t="shared" si="7"/>
        <v>19900.426832287034</v>
      </c>
      <c r="J20" s="32">
        <f t="shared" si="0"/>
        <v>9950.213416143517</v>
      </c>
      <c r="K20" s="32">
        <v>325</v>
      </c>
      <c r="L20" s="32">
        <v>1.25</v>
      </c>
      <c r="M20" s="32">
        <f t="shared" si="1"/>
        <v>99.502134161435166</v>
      </c>
      <c r="N20" s="32">
        <f t="shared" si="2"/>
        <v>99.502134161435166</v>
      </c>
      <c r="O20" s="7">
        <v>125</v>
      </c>
      <c r="P20" s="32">
        <v>40</v>
      </c>
    </row>
    <row r="21" spans="1:16" ht="15" x14ac:dyDescent="0.15">
      <c r="A21" s="16" t="s">
        <v>341</v>
      </c>
      <c r="B21" s="16" t="s">
        <v>341</v>
      </c>
      <c r="C21" s="28">
        <v>18</v>
      </c>
      <c r="D21" s="29">
        <f t="shared" si="3"/>
        <v>23.5</v>
      </c>
      <c r="E21" s="29">
        <f t="shared" si="4"/>
        <v>152.5</v>
      </c>
      <c r="F21" s="36">
        <v>1</v>
      </c>
      <c r="G21" s="32">
        <f t="shared" si="5"/>
        <v>1707.8267102866189</v>
      </c>
      <c r="H21" s="32">
        <f t="shared" si="6"/>
        <v>43.259918524491326</v>
      </c>
      <c r="I21" s="32">
        <f t="shared" si="7"/>
        <v>23819.005796260135</v>
      </c>
      <c r="J21" s="32">
        <f t="shared" si="0"/>
        <v>11909.502898130067</v>
      </c>
      <c r="K21" s="32">
        <v>325</v>
      </c>
      <c r="L21" s="32">
        <v>1.25</v>
      </c>
      <c r="M21" s="32">
        <f t="shared" si="1"/>
        <v>119.09502898130067</v>
      </c>
      <c r="N21" s="32">
        <f t="shared" si="2"/>
        <v>119.09502898130067</v>
      </c>
      <c r="O21" s="7">
        <v>125</v>
      </c>
      <c r="P21" s="32">
        <v>40</v>
      </c>
    </row>
    <row r="22" spans="1:16" ht="15" x14ac:dyDescent="0.15">
      <c r="A22" s="16" t="s">
        <v>342</v>
      </c>
      <c r="B22" s="16" t="s">
        <v>342</v>
      </c>
      <c r="C22" s="28">
        <v>19</v>
      </c>
      <c r="D22" s="29">
        <f t="shared" si="3"/>
        <v>24</v>
      </c>
      <c r="E22" s="29">
        <f t="shared" si="4"/>
        <v>160</v>
      </c>
      <c r="F22" s="36">
        <v>1</v>
      </c>
      <c r="G22" s="32">
        <f t="shared" si="5"/>
        <v>2032.9355181382102</v>
      </c>
      <c r="H22" s="32">
        <f t="shared" si="6"/>
        <v>48.553130621366982</v>
      </c>
      <c r="I22" s="32">
        <f t="shared" si="7"/>
        <v>28462.521868568263</v>
      </c>
      <c r="J22" s="32">
        <f t="shared" si="0"/>
        <v>14231.260934284132</v>
      </c>
      <c r="K22" s="32">
        <v>325</v>
      </c>
      <c r="L22" s="32">
        <v>1.25</v>
      </c>
      <c r="M22" s="32">
        <f t="shared" si="1"/>
        <v>142.31260934284131</v>
      </c>
      <c r="N22" s="32">
        <f t="shared" si="2"/>
        <v>142.31260934284131</v>
      </c>
      <c r="O22" s="7">
        <v>125</v>
      </c>
      <c r="P22" s="32">
        <v>40</v>
      </c>
    </row>
    <row r="23" spans="1:16" ht="15" x14ac:dyDescent="0.15">
      <c r="A23" s="16" t="s">
        <v>343</v>
      </c>
      <c r="B23" s="16" t="s">
        <v>343</v>
      </c>
      <c r="C23" s="28">
        <v>20</v>
      </c>
      <c r="D23" s="29">
        <f t="shared" si="3"/>
        <v>24.5</v>
      </c>
      <c r="E23" s="29">
        <f t="shared" si="4"/>
        <v>167.5</v>
      </c>
      <c r="F23" s="36">
        <v>1</v>
      </c>
      <c r="G23" s="32">
        <f t="shared" si="5"/>
        <v>2416.5639114030878</v>
      </c>
      <c r="H23" s="32">
        <f t="shared" si="6"/>
        <v>54.359784291639578</v>
      </c>
      <c r="I23" s="32">
        <f t="shared" si="7"/>
        <v>33965.088414253391</v>
      </c>
      <c r="J23" s="32">
        <f t="shared" si="0"/>
        <v>16982.544207126695</v>
      </c>
      <c r="K23" s="32">
        <v>325</v>
      </c>
      <c r="L23" s="32">
        <v>1.25</v>
      </c>
      <c r="M23" s="32">
        <f t="shared" si="1"/>
        <v>169.82544207126696</v>
      </c>
      <c r="N23" s="32">
        <f t="shared" si="2"/>
        <v>169.82544207126696</v>
      </c>
      <c r="O23" s="7">
        <v>125</v>
      </c>
      <c r="P23" s="32">
        <v>40</v>
      </c>
    </row>
    <row r="24" spans="1:16" ht="15" x14ac:dyDescent="0.15">
      <c r="A24" s="16" t="s">
        <v>344</v>
      </c>
      <c r="B24" s="16" t="s">
        <v>344</v>
      </c>
      <c r="C24" s="28">
        <v>21</v>
      </c>
      <c r="D24" s="29">
        <f t="shared" si="3"/>
        <v>25</v>
      </c>
      <c r="E24" s="29">
        <f t="shared" si="4"/>
        <v>175</v>
      </c>
      <c r="F24" s="36">
        <v>1</v>
      </c>
      <c r="G24" s="32">
        <f t="shared" si="5"/>
        <v>2869.2454154556435</v>
      </c>
      <c r="H24" s="32">
        <f t="shared" si="6"/>
        <v>60.729683367928615</v>
      </c>
      <c r="I24" s="32">
        <f t="shared" si="7"/>
        <v>40485.629770890271</v>
      </c>
      <c r="J24" s="32">
        <f t="shared" si="0"/>
        <v>20242.814885445136</v>
      </c>
      <c r="K24" s="32">
        <v>325</v>
      </c>
      <c r="L24" s="32">
        <v>1.25</v>
      </c>
      <c r="M24" s="32">
        <f t="shared" si="1"/>
        <v>202.42814885445136</v>
      </c>
      <c r="N24" s="32">
        <f t="shared" si="2"/>
        <v>202.42814885445136</v>
      </c>
      <c r="O24" s="7">
        <v>125</v>
      </c>
      <c r="P24" s="32">
        <v>40</v>
      </c>
    </row>
    <row r="25" spans="1:16" ht="15" x14ac:dyDescent="0.15">
      <c r="A25" s="16" t="s">
        <v>345</v>
      </c>
      <c r="B25" s="16" t="s">
        <v>345</v>
      </c>
      <c r="C25" s="28">
        <v>22</v>
      </c>
      <c r="D25" s="29">
        <f t="shared" si="3"/>
        <v>25.5</v>
      </c>
      <c r="E25" s="29">
        <f t="shared" si="4"/>
        <v>182.5</v>
      </c>
      <c r="F25" s="36">
        <v>1</v>
      </c>
      <c r="G25" s="32">
        <f t="shared" si="5"/>
        <v>3403.4095902376594</v>
      </c>
      <c r="H25" s="32">
        <f t="shared" si="6"/>
        <v>67.717462654617691</v>
      </c>
      <c r="I25" s="32">
        <f t="shared" si="7"/>
        <v>48212.471278504971</v>
      </c>
      <c r="J25" s="32">
        <f t="shared" si="0"/>
        <v>24106.235639252485</v>
      </c>
      <c r="K25" s="32">
        <v>325</v>
      </c>
      <c r="L25" s="32">
        <v>1.25</v>
      </c>
      <c r="M25" s="32">
        <f t="shared" si="1"/>
        <v>241.06235639252486</v>
      </c>
      <c r="N25" s="32">
        <f t="shared" si="2"/>
        <v>241.06235639252486</v>
      </c>
      <c r="O25" s="7">
        <v>125</v>
      </c>
      <c r="P25" s="32">
        <v>40</v>
      </c>
    </row>
    <row r="26" spans="1:16" ht="15" x14ac:dyDescent="0.15">
      <c r="A26" s="16" t="s">
        <v>346</v>
      </c>
      <c r="B26" s="16" t="s">
        <v>346</v>
      </c>
      <c r="C26" s="28">
        <v>23</v>
      </c>
      <c r="D26" s="29">
        <f t="shared" si="3"/>
        <v>26</v>
      </c>
      <c r="E26" s="29">
        <f t="shared" si="4"/>
        <v>190</v>
      </c>
      <c r="F26" s="36">
        <v>1</v>
      </c>
      <c r="G26" s="32">
        <f t="shared" si="5"/>
        <v>4033.7233164804379</v>
      </c>
      <c r="H26" s="32">
        <f t="shared" si="6"/>
        <v>75.383056532115603</v>
      </c>
      <c r="I26" s="32">
        <f t="shared" si="7"/>
        <v>57368.778465028394</v>
      </c>
      <c r="J26" s="32">
        <f t="shared" si="0"/>
        <v>28684.389232514197</v>
      </c>
      <c r="K26" s="32">
        <v>325</v>
      </c>
      <c r="L26" s="32">
        <v>1.25</v>
      </c>
      <c r="M26" s="32">
        <f t="shared" si="1"/>
        <v>286.84389232514195</v>
      </c>
      <c r="N26" s="32">
        <f t="shared" si="2"/>
        <v>286.84389232514195</v>
      </c>
      <c r="O26" s="7">
        <v>125</v>
      </c>
      <c r="P26" s="32">
        <v>40</v>
      </c>
    </row>
    <row r="27" spans="1:16" ht="15" x14ac:dyDescent="0.15">
      <c r="A27" s="16" t="s">
        <v>347</v>
      </c>
      <c r="B27" s="16" t="s">
        <v>347</v>
      </c>
      <c r="C27" s="28">
        <v>24</v>
      </c>
      <c r="D27" s="29">
        <f t="shared" si="3"/>
        <v>26.5</v>
      </c>
      <c r="E27" s="29">
        <f t="shared" si="4"/>
        <v>197.5</v>
      </c>
      <c r="F27" s="36">
        <v>1</v>
      </c>
      <c r="G27" s="32">
        <f t="shared" si="5"/>
        <v>4777.493513446916</v>
      </c>
      <c r="H27" s="32">
        <f t="shared" si="6"/>
        <v>83.792213015730809</v>
      </c>
      <c r="I27" s="32">
        <f t="shared" si="7"/>
        <v>68219.002481058647</v>
      </c>
      <c r="J27" s="32">
        <f t="shared" si="0"/>
        <v>34109.501240529324</v>
      </c>
      <c r="K27" s="32">
        <v>325</v>
      </c>
      <c r="L27" s="32">
        <v>1.25</v>
      </c>
      <c r="M27" s="32">
        <f t="shared" si="1"/>
        <v>341.09501240529323</v>
      </c>
      <c r="N27" s="32">
        <f t="shared" si="2"/>
        <v>341.09501240529323</v>
      </c>
      <c r="O27" s="7">
        <v>125</v>
      </c>
      <c r="P27" s="32">
        <v>40</v>
      </c>
    </row>
    <row r="28" spans="1:16" ht="15" x14ac:dyDescent="0.15">
      <c r="A28" s="16" t="s">
        <v>348</v>
      </c>
      <c r="B28" s="16" t="s">
        <v>348</v>
      </c>
      <c r="C28" s="28">
        <v>25</v>
      </c>
      <c r="D28" s="29">
        <f t="shared" si="3"/>
        <v>27</v>
      </c>
      <c r="E28" s="29">
        <f t="shared" si="4"/>
        <v>205</v>
      </c>
      <c r="F28" s="36">
        <v>1</v>
      </c>
      <c r="G28" s="32">
        <f t="shared" si="5"/>
        <v>5655.1423458673607</v>
      </c>
      <c r="H28" s="32">
        <f t="shared" si="6"/>
        <v>93.017057678256691</v>
      </c>
      <c r="I28" s="32">
        <f t="shared" si="7"/>
        <v>81076.517940054502</v>
      </c>
      <c r="J28" s="32">
        <f t="shared" si="0"/>
        <v>40538.258970027251</v>
      </c>
      <c r="K28" s="32">
        <v>325</v>
      </c>
      <c r="L28" s="32">
        <v>1.25</v>
      </c>
      <c r="M28" s="32">
        <f t="shared" si="1"/>
        <v>405.38258970027255</v>
      </c>
      <c r="N28" s="32">
        <f t="shared" si="2"/>
        <v>405.38258970027255</v>
      </c>
      <c r="O28" s="7">
        <v>125</v>
      </c>
      <c r="P28" s="32">
        <v>40</v>
      </c>
    </row>
    <row r="29" spans="1:16" ht="15" x14ac:dyDescent="0.15">
      <c r="A29" s="16" t="s">
        <v>349</v>
      </c>
      <c r="B29" s="16" t="s">
        <v>349</v>
      </c>
      <c r="C29" s="28">
        <v>26</v>
      </c>
      <c r="D29" s="29">
        <f t="shared" si="3"/>
        <v>27.5</v>
      </c>
      <c r="E29" s="29">
        <f t="shared" si="4"/>
        <v>212.5</v>
      </c>
      <c r="F29" s="36">
        <v>1</v>
      </c>
      <c r="G29" s="32">
        <f t="shared" si="5"/>
        <v>6690.7679681234849</v>
      </c>
      <c r="H29" s="32">
        <f t="shared" si="6"/>
        <v>103.13671227304759</v>
      </c>
      <c r="I29" s="32">
        <f t="shared" si="7"/>
        <v>96312.673758964593</v>
      </c>
      <c r="J29" s="32">
        <f t="shared" si="0"/>
        <v>48156.336879482296</v>
      </c>
      <c r="K29" s="32">
        <v>325</v>
      </c>
      <c r="L29" s="32">
        <v>1.25</v>
      </c>
      <c r="M29" s="32">
        <f t="shared" si="1"/>
        <v>481.56336879482296</v>
      </c>
      <c r="N29" s="32">
        <f t="shared" si="2"/>
        <v>481.56336879482296</v>
      </c>
      <c r="O29" s="7">
        <v>125</v>
      </c>
      <c r="P29" s="32">
        <v>50</v>
      </c>
    </row>
    <row r="30" spans="1:16" ht="15" x14ac:dyDescent="0.15">
      <c r="A30" s="16" t="s">
        <v>350</v>
      </c>
      <c r="B30" s="16" t="s">
        <v>350</v>
      </c>
      <c r="C30" s="28">
        <v>27</v>
      </c>
      <c r="D30" s="29">
        <f t="shared" si="3"/>
        <v>28</v>
      </c>
      <c r="E30" s="29">
        <f t="shared" si="4"/>
        <v>220</v>
      </c>
      <c r="F30" s="36">
        <v>1</v>
      </c>
      <c r="G30" s="32">
        <f t="shared" si="5"/>
        <v>7912.8062023857119</v>
      </c>
      <c r="H30" s="32">
        <f t="shared" si="6"/>
        <v>114.2379733635332</v>
      </c>
      <c r="I30" s="32">
        <f t="shared" si="7"/>
        <v>114367.51840437304</v>
      </c>
      <c r="J30" s="32">
        <f t="shared" si="0"/>
        <v>57183.75920218652</v>
      </c>
      <c r="K30" s="32">
        <v>325</v>
      </c>
      <c r="L30" s="32">
        <v>1.25</v>
      </c>
      <c r="M30" s="32">
        <f t="shared" si="1"/>
        <v>571.83759202186525</v>
      </c>
      <c r="N30" s="32">
        <f t="shared" si="2"/>
        <v>571.83759202186525</v>
      </c>
      <c r="O30" s="7">
        <v>125</v>
      </c>
      <c r="P30" s="32">
        <v>50</v>
      </c>
    </row>
    <row r="31" spans="1:16" ht="15" x14ac:dyDescent="0.15">
      <c r="A31" s="16" t="s">
        <v>351</v>
      </c>
      <c r="B31" s="16" t="s">
        <v>351</v>
      </c>
      <c r="C31" s="28">
        <v>28</v>
      </c>
      <c r="D31" s="29">
        <f t="shared" si="3"/>
        <v>28.5</v>
      </c>
      <c r="E31" s="29">
        <f t="shared" si="4"/>
        <v>227.5</v>
      </c>
      <c r="F31" s="36">
        <v>1</v>
      </c>
      <c r="G31" s="32">
        <f t="shared" si="5"/>
        <v>9354.8113188151401</v>
      </c>
      <c r="H31" s="32">
        <f t="shared" si="6"/>
        <v>126.41605677979592</v>
      </c>
      <c r="I31" s="32">
        <f t="shared" si="7"/>
        <v>135762.50930918206</v>
      </c>
      <c r="J31" s="32">
        <f t="shared" si="0"/>
        <v>67881.25465459103</v>
      </c>
      <c r="K31" s="32">
        <v>325</v>
      </c>
      <c r="L31" s="32">
        <v>1.25</v>
      </c>
      <c r="M31" s="32">
        <f t="shared" si="1"/>
        <v>678.81254654591032</v>
      </c>
      <c r="N31" s="32">
        <f t="shared" si="2"/>
        <v>678.81254654591032</v>
      </c>
      <c r="O31" s="7">
        <v>125</v>
      </c>
      <c r="P31" s="32">
        <v>50</v>
      </c>
    </row>
    <row r="32" spans="1:16" ht="15" x14ac:dyDescent="0.15">
      <c r="A32" s="16" t="s">
        <v>352</v>
      </c>
      <c r="B32" s="16" t="s">
        <v>352</v>
      </c>
      <c r="C32" s="28">
        <v>29</v>
      </c>
      <c r="D32" s="29">
        <f t="shared" si="3"/>
        <v>29</v>
      </c>
      <c r="E32" s="29">
        <f t="shared" si="4"/>
        <v>235</v>
      </c>
      <c r="F32" s="36">
        <v>1</v>
      </c>
      <c r="G32" s="32">
        <f t="shared" si="5"/>
        <v>11056.377356201865</v>
      </c>
      <c r="H32" s="32">
        <f t="shared" si="6"/>
        <v>139.77541428743612</v>
      </c>
      <c r="I32" s="32">
        <f t="shared" si="7"/>
        <v>161115.57353138074</v>
      </c>
      <c r="J32" s="32">
        <f t="shared" si="0"/>
        <v>80557.786765690369</v>
      </c>
      <c r="K32" s="32">
        <v>325</v>
      </c>
      <c r="L32" s="32">
        <v>1.25</v>
      </c>
      <c r="M32" s="32">
        <f t="shared" si="1"/>
        <v>805.57786765690366</v>
      </c>
      <c r="N32" s="32">
        <f t="shared" si="2"/>
        <v>805.57786765690366</v>
      </c>
      <c r="O32" s="7">
        <v>125</v>
      </c>
      <c r="P32" s="32">
        <v>50</v>
      </c>
    </row>
    <row r="33" spans="1:16" ht="15" x14ac:dyDescent="0.15">
      <c r="A33" s="16" t="s">
        <v>353</v>
      </c>
      <c r="B33" s="16" t="s">
        <v>353</v>
      </c>
      <c r="C33" s="28">
        <v>30</v>
      </c>
      <c r="D33" s="29">
        <f t="shared" si="3"/>
        <v>29.5</v>
      </c>
      <c r="E33" s="29">
        <f t="shared" si="4"/>
        <v>242.5</v>
      </c>
      <c r="F33" s="36">
        <v>1</v>
      </c>
      <c r="G33" s="32">
        <f t="shared" si="5"/>
        <v>13064.2252803182</v>
      </c>
      <c r="H33" s="32">
        <f t="shared" si="6"/>
        <v>154.43062947331742</v>
      </c>
      <c r="I33" s="32">
        <f t="shared" si="7"/>
        <v>191158.95463468618</v>
      </c>
      <c r="J33" s="32">
        <f t="shared" si="0"/>
        <v>95579.477317343088</v>
      </c>
      <c r="K33" s="32">
        <v>325</v>
      </c>
      <c r="L33" s="32">
        <v>1.25</v>
      </c>
      <c r="M33" s="32">
        <f t="shared" si="1"/>
        <v>955.79477317343094</v>
      </c>
      <c r="N33" s="32">
        <f t="shared" si="2"/>
        <v>955.79477317343094</v>
      </c>
      <c r="O33" s="7">
        <v>125</v>
      </c>
      <c r="P33" s="32">
        <v>50</v>
      </c>
    </row>
    <row r="34" spans="1:16" ht="15" x14ac:dyDescent="0.15">
      <c r="A34" s="16" t="s">
        <v>354</v>
      </c>
      <c r="B34" s="16" t="s">
        <v>354</v>
      </c>
      <c r="C34" s="28">
        <v>31</v>
      </c>
      <c r="D34" s="29">
        <f t="shared" si="3"/>
        <v>30</v>
      </c>
      <c r="E34" s="29">
        <f t="shared" si="4"/>
        <v>250</v>
      </c>
      <c r="F34" s="36">
        <v>1</v>
      </c>
      <c r="G34" s="32">
        <f t="shared" si="5"/>
        <v>15433.485830775475</v>
      </c>
      <c r="H34" s="32">
        <f t="shared" si="6"/>
        <v>170.50740053222921</v>
      </c>
      <c r="I34" s="32">
        <f t="shared" si="7"/>
        <v>226760.36124210313</v>
      </c>
      <c r="J34" s="32">
        <f t="shared" si="0"/>
        <v>113380.18062105156</v>
      </c>
      <c r="K34" s="32">
        <v>325</v>
      </c>
      <c r="L34" s="32">
        <v>1.25</v>
      </c>
      <c r="M34" s="32">
        <f t="shared" si="1"/>
        <v>1133.8018062105157</v>
      </c>
      <c r="N34" s="32">
        <f t="shared" si="2"/>
        <v>1133.8018062105157</v>
      </c>
      <c r="O34" s="7">
        <v>125</v>
      </c>
      <c r="P34" s="32">
        <v>50</v>
      </c>
    </row>
    <row r="35" spans="1:16" ht="15" x14ac:dyDescent="0.15">
      <c r="A35" s="16" t="s">
        <v>355</v>
      </c>
      <c r="B35" s="16" t="s">
        <v>355</v>
      </c>
      <c r="C35" s="28">
        <v>32</v>
      </c>
      <c r="D35" s="29">
        <f t="shared" si="3"/>
        <v>30.5</v>
      </c>
      <c r="E35" s="29">
        <f t="shared" si="4"/>
        <v>257.5</v>
      </c>
      <c r="F35" s="36">
        <v>1</v>
      </c>
      <c r="G35" s="32">
        <f t="shared" si="5"/>
        <v>18229.21328031506</v>
      </c>
      <c r="H35" s="32">
        <f t="shared" si="6"/>
        <v>188.14361838385545</v>
      </c>
      <c r="I35" s="32">
        <f t="shared" si="7"/>
        <v>268948.02807189221</v>
      </c>
      <c r="J35" s="32">
        <f t="shared" si="0"/>
        <v>134474.01403594611</v>
      </c>
      <c r="K35" s="32">
        <v>325</v>
      </c>
      <c r="L35" s="32">
        <v>1.25</v>
      </c>
      <c r="M35" s="32">
        <f t="shared" si="1"/>
        <v>1344.7401403594611</v>
      </c>
      <c r="N35" s="32">
        <f t="shared" si="2"/>
        <v>1344.7401403594611</v>
      </c>
      <c r="O35" s="7">
        <v>125</v>
      </c>
      <c r="P35" s="32">
        <v>50</v>
      </c>
    </row>
    <row r="36" spans="1:16" ht="15" x14ac:dyDescent="0.15">
      <c r="A36" s="16" t="s">
        <v>356</v>
      </c>
      <c r="B36" s="16" t="s">
        <v>356</v>
      </c>
      <c r="C36" s="28">
        <v>33</v>
      </c>
      <c r="D36" s="29">
        <f t="shared" si="3"/>
        <v>31</v>
      </c>
      <c r="E36" s="29">
        <f t="shared" si="4"/>
        <v>265</v>
      </c>
      <c r="F36" s="36">
        <v>1</v>
      </c>
      <c r="G36" s="32">
        <f t="shared" si="5"/>
        <v>21528.171670771768</v>
      </c>
      <c r="H36" s="32">
        <f t="shared" si="6"/>
        <v>207.49054936708941</v>
      </c>
      <c r="I36" s="32">
        <f t="shared" si="7"/>
        <v>318940.4132651923</v>
      </c>
      <c r="J36" s="32">
        <f t="shared" si="0"/>
        <v>159470.20663259615</v>
      </c>
      <c r="K36" s="32">
        <v>325</v>
      </c>
      <c r="L36" s="32">
        <v>1.25</v>
      </c>
      <c r="M36" s="32">
        <f t="shared" si="1"/>
        <v>1594.7020663259616</v>
      </c>
      <c r="N36" s="32">
        <f t="shared" si="2"/>
        <v>1594.7020663259616</v>
      </c>
      <c r="O36" s="7">
        <v>125</v>
      </c>
      <c r="P36" s="32">
        <v>50</v>
      </c>
    </row>
    <row r="37" spans="1:16" ht="15" x14ac:dyDescent="0.15">
      <c r="A37" s="16" t="s">
        <v>357</v>
      </c>
      <c r="B37" s="16" t="s">
        <v>357</v>
      </c>
      <c r="C37" s="28">
        <v>34</v>
      </c>
      <c r="D37" s="29">
        <f t="shared" si="3"/>
        <v>31.5</v>
      </c>
      <c r="E37" s="29">
        <f t="shared" si="4"/>
        <v>272.5</v>
      </c>
      <c r="F37" s="36">
        <v>1</v>
      </c>
      <c r="G37" s="32">
        <f t="shared" si="5"/>
        <v>25420.942571510685</v>
      </c>
      <c r="H37" s="32">
        <f t="shared" si="6"/>
        <v>228.71413265569709</v>
      </c>
      <c r="I37" s="32">
        <f t="shared" si="7"/>
        <v>378181.38971925288</v>
      </c>
      <c r="J37" s="32">
        <f t="shared" si="0"/>
        <v>189090.69485962644</v>
      </c>
      <c r="K37" s="32">
        <v>325</v>
      </c>
      <c r="L37" s="32">
        <v>1.25</v>
      </c>
      <c r="M37" s="32">
        <f t="shared" si="1"/>
        <v>1890.9069485962646</v>
      </c>
      <c r="N37" s="32">
        <f t="shared" si="2"/>
        <v>1890.9069485962646</v>
      </c>
      <c r="O37" s="7">
        <v>125</v>
      </c>
      <c r="P37" s="32">
        <v>50</v>
      </c>
    </row>
    <row r="38" spans="1:16" ht="15" x14ac:dyDescent="0.15">
      <c r="A38" s="16" t="s">
        <v>358</v>
      </c>
      <c r="B38" s="16" t="s">
        <v>358</v>
      </c>
      <c r="C38" s="28">
        <v>35</v>
      </c>
      <c r="D38" s="29">
        <f t="shared" si="3"/>
        <v>32</v>
      </c>
      <c r="E38" s="29">
        <f t="shared" si="4"/>
        <v>280</v>
      </c>
      <c r="F38" s="36">
        <v>1</v>
      </c>
      <c r="G38" s="32">
        <f t="shared" si="5"/>
        <v>30014.412234382606</v>
      </c>
      <c r="H38" s="32">
        <f t="shared" si="6"/>
        <v>251.9964035232997</v>
      </c>
      <c r="I38" s="32">
        <f t="shared" si="7"/>
        <v>448381.94681731466</v>
      </c>
      <c r="J38" s="32">
        <f t="shared" si="0"/>
        <v>224190.97340865733</v>
      </c>
      <c r="K38" s="32">
        <v>325</v>
      </c>
      <c r="L38" s="32">
        <v>1.25</v>
      </c>
      <c r="M38" s="32">
        <f t="shared" si="1"/>
        <v>2241.9097340865733</v>
      </c>
      <c r="N38" s="32">
        <f t="shared" si="2"/>
        <v>2241.9097340865733</v>
      </c>
      <c r="O38" s="7">
        <v>125</v>
      </c>
      <c r="P38" s="32">
        <v>50</v>
      </c>
    </row>
    <row r="39" spans="1:16" ht="15" x14ac:dyDescent="0.15">
      <c r="A39" s="16" t="s">
        <v>359</v>
      </c>
      <c r="B39" s="16" t="s">
        <v>359</v>
      </c>
      <c r="C39" s="28">
        <v>36</v>
      </c>
      <c r="D39" s="29">
        <f t="shared" si="3"/>
        <v>32.5</v>
      </c>
      <c r="E39" s="29">
        <f t="shared" si="4"/>
        <v>287.5</v>
      </c>
      <c r="F39" s="36">
        <v>1</v>
      </c>
      <c r="G39" s="32">
        <f t="shared" si="5"/>
        <v>35434.706436571476</v>
      </c>
      <c r="H39" s="32">
        <f t="shared" si="6"/>
        <v>277.53705466505977</v>
      </c>
      <c r="I39" s="32">
        <f t="shared" si="7"/>
        <v>531569.60697851784</v>
      </c>
      <c r="J39" s="32">
        <f t="shared" si="0"/>
        <v>265784.80348925892</v>
      </c>
      <c r="K39" s="32">
        <v>325</v>
      </c>
      <c r="L39" s="32">
        <v>1.25</v>
      </c>
      <c r="M39" s="32">
        <f t="shared" si="1"/>
        <v>2657.8480348925891</v>
      </c>
      <c r="N39" s="32">
        <f t="shared" si="2"/>
        <v>2657.8480348925891</v>
      </c>
      <c r="O39" s="7">
        <v>125</v>
      </c>
      <c r="P39" s="32">
        <v>60</v>
      </c>
    </row>
    <row r="40" spans="1:16" ht="15" x14ac:dyDescent="0.15">
      <c r="A40" s="16" t="s">
        <v>360</v>
      </c>
      <c r="B40" s="16" t="s">
        <v>360</v>
      </c>
      <c r="C40" s="28">
        <v>37</v>
      </c>
      <c r="D40" s="29">
        <f t="shared" si="3"/>
        <v>33</v>
      </c>
      <c r="E40" s="29">
        <f t="shared" si="4"/>
        <v>295</v>
      </c>
      <c r="F40" s="36">
        <v>1</v>
      </c>
      <c r="G40" s="32">
        <f t="shared" si="5"/>
        <v>41830.653595154341</v>
      </c>
      <c r="H40" s="32">
        <f t="shared" si="6"/>
        <v>305.55514896757057</v>
      </c>
      <c r="I40" s="32">
        <f t="shared" si="7"/>
        <v>630146.98426954367</v>
      </c>
      <c r="J40" s="32">
        <f t="shared" si="0"/>
        <v>315073.49213477183</v>
      </c>
      <c r="K40" s="32">
        <v>325</v>
      </c>
      <c r="L40" s="32">
        <v>1.25</v>
      </c>
      <c r="M40" s="32">
        <f t="shared" si="1"/>
        <v>3150.7349213477182</v>
      </c>
      <c r="N40" s="32">
        <f t="shared" si="2"/>
        <v>3150.7349213477182</v>
      </c>
      <c r="O40" s="7">
        <v>125</v>
      </c>
      <c r="P40" s="32">
        <v>60</v>
      </c>
    </row>
    <row r="41" spans="1:16" ht="15" x14ac:dyDescent="0.15">
      <c r="A41" s="16" t="s">
        <v>361</v>
      </c>
      <c r="B41" s="16" t="s">
        <v>361</v>
      </c>
      <c r="C41" s="28">
        <v>38</v>
      </c>
      <c r="D41" s="29">
        <f t="shared" si="3"/>
        <v>33.5</v>
      </c>
      <c r="E41" s="29">
        <f t="shared" si="4"/>
        <v>302.5</v>
      </c>
      <c r="F41" s="36">
        <v>1</v>
      </c>
      <c r="G41" s="32">
        <f t="shared" si="5"/>
        <v>49377.871242282119</v>
      </c>
      <c r="H41" s="32">
        <f t="shared" si="6"/>
        <v>336.29099841742493</v>
      </c>
      <c r="I41" s="32">
        <f t="shared" si="7"/>
        <v>746961.17635940923</v>
      </c>
      <c r="J41" s="32">
        <f t="shared" si="0"/>
        <v>373480.58817970462</v>
      </c>
      <c r="K41" s="32">
        <v>325</v>
      </c>
      <c r="L41" s="32">
        <v>1.25</v>
      </c>
      <c r="M41" s="32">
        <f t="shared" si="1"/>
        <v>3734.8058817970464</v>
      </c>
      <c r="N41" s="32">
        <f t="shared" si="2"/>
        <v>3734.8058817970464</v>
      </c>
      <c r="O41" s="7">
        <v>125</v>
      </c>
      <c r="P41" s="32">
        <v>60</v>
      </c>
    </row>
    <row r="42" spans="1:16" ht="15" x14ac:dyDescent="0.15">
      <c r="A42" s="16" t="s">
        <v>362</v>
      </c>
      <c r="B42" s="16" t="s">
        <v>362</v>
      </c>
      <c r="C42" s="28">
        <v>39</v>
      </c>
      <c r="D42" s="29">
        <f t="shared" si="3"/>
        <v>34</v>
      </c>
      <c r="E42" s="29">
        <f t="shared" si="4"/>
        <v>310</v>
      </c>
      <c r="F42" s="36">
        <v>1</v>
      </c>
      <c r="G42" s="32">
        <f t="shared" si="5"/>
        <v>58283.588065892895</v>
      </c>
      <c r="H42" s="32">
        <f t="shared" si="6"/>
        <v>370.00822526391516</v>
      </c>
      <c r="I42" s="32">
        <f t="shared" si="7"/>
        <v>885385.99398589996</v>
      </c>
      <c r="J42" s="32">
        <f t="shared" si="0"/>
        <v>442692.99699294998</v>
      </c>
      <c r="K42" s="32">
        <v>325</v>
      </c>
      <c r="L42" s="32">
        <v>1.25</v>
      </c>
      <c r="M42" s="32">
        <f t="shared" si="1"/>
        <v>4426.9299699294997</v>
      </c>
      <c r="N42" s="32">
        <f t="shared" si="2"/>
        <v>4426.9299699294997</v>
      </c>
      <c r="O42" s="7">
        <v>125</v>
      </c>
      <c r="P42" s="32">
        <v>60</v>
      </c>
    </row>
    <row r="43" spans="1:16" ht="15" x14ac:dyDescent="0.15">
      <c r="A43" s="16" t="s">
        <v>363</v>
      </c>
      <c r="B43" s="16" t="s">
        <v>363</v>
      </c>
      <c r="C43" s="28">
        <v>40</v>
      </c>
      <c r="D43" s="29">
        <f t="shared" si="3"/>
        <v>34.5</v>
      </c>
      <c r="E43" s="29">
        <f t="shared" si="4"/>
        <v>317.5</v>
      </c>
      <c r="F43" s="36">
        <v>1</v>
      </c>
      <c r="G43" s="32">
        <f t="shared" si="5"/>
        <v>68792.333917753611</v>
      </c>
      <c r="H43" s="32">
        <f t="shared" si="6"/>
        <v>406.99602311451491</v>
      </c>
      <c r="I43" s="32">
        <f t="shared" si="7"/>
        <v>1049419.4028732914</v>
      </c>
      <c r="J43" s="32">
        <f t="shared" si="0"/>
        <v>524709.7014366457</v>
      </c>
      <c r="K43" s="32">
        <v>325</v>
      </c>
      <c r="L43" s="32">
        <v>1.25</v>
      </c>
      <c r="M43" s="32">
        <f t="shared" si="1"/>
        <v>5247.0970143664572</v>
      </c>
      <c r="N43" s="32">
        <f t="shared" si="2"/>
        <v>5247.0970143664572</v>
      </c>
      <c r="O43" s="7">
        <v>125</v>
      </c>
      <c r="P43" s="32">
        <v>60</v>
      </c>
    </row>
    <row r="44" spans="1:16" ht="15" x14ac:dyDescent="0.15">
      <c r="A44" s="16" t="s">
        <v>364</v>
      </c>
      <c r="B44" s="16" t="s">
        <v>364</v>
      </c>
      <c r="C44" s="28">
        <v>41</v>
      </c>
      <c r="D44" s="29">
        <f t="shared" si="3"/>
        <v>35</v>
      </c>
      <c r="E44" s="29">
        <f t="shared" si="4"/>
        <v>325</v>
      </c>
      <c r="F44" s="36">
        <v>1</v>
      </c>
      <c r="G44" s="32">
        <f t="shared" si="5"/>
        <v>81192.654022949253</v>
      </c>
      <c r="H44" s="32">
        <f t="shared" si="6"/>
        <v>447.57163735662283</v>
      </c>
      <c r="I44" s="32">
        <f t="shared" si="7"/>
        <v>1243798.9924048504</v>
      </c>
      <c r="J44" s="32">
        <f t="shared" si="0"/>
        <v>621899.49620242522</v>
      </c>
      <c r="K44" s="32">
        <v>325</v>
      </c>
      <c r="L44" s="32">
        <v>1.25</v>
      </c>
      <c r="M44" s="32">
        <f t="shared" si="1"/>
        <v>6218.9949620242523</v>
      </c>
      <c r="N44" s="32">
        <f t="shared" si="2"/>
        <v>6218.9949620242523</v>
      </c>
      <c r="O44" s="7">
        <v>125</v>
      </c>
      <c r="P44" s="32">
        <v>60</v>
      </c>
    </row>
    <row r="45" spans="1:16" ht="15" x14ac:dyDescent="0.15">
      <c r="A45" s="16" t="s">
        <v>365</v>
      </c>
      <c r="B45" s="16" t="s">
        <v>365</v>
      </c>
      <c r="C45" s="28">
        <v>42</v>
      </c>
      <c r="D45" s="29">
        <f t="shared" si="3"/>
        <v>35.5</v>
      </c>
      <c r="E45" s="29">
        <f t="shared" si="4"/>
        <v>332.5</v>
      </c>
      <c r="F45" s="36">
        <v>1</v>
      </c>
      <c r="G45" s="32">
        <f t="shared" si="5"/>
        <v>95825.031747080109</v>
      </c>
      <c r="H45" s="32">
        <f t="shared" si="6"/>
        <v>492.08308618021522</v>
      </c>
      <c r="I45" s="32">
        <f t="shared" si="7"/>
        <v>1474138.8059997479</v>
      </c>
      <c r="J45" s="32">
        <f t="shared" si="0"/>
        <v>737069.40299987397</v>
      </c>
      <c r="K45" s="32">
        <v>325</v>
      </c>
      <c r="L45" s="32">
        <v>1.25</v>
      </c>
      <c r="M45" s="32">
        <f t="shared" si="1"/>
        <v>7370.69402999874</v>
      </c>
      <c r="N45" s="32">
        <f t="shared" si="2"/>
        <v>7370.69402999874</v>
      </c>
      <c r="O45" s="7">
        <v>125</v>
      </c>
      <c r="P45" s="32">
        <v>60</v>
      </c>
    </row>
    <row r="46" spans="1:16" ht="15" x14ac:dyDescent="0.15">
      <c r="A46" s="16" t="s">
        <v>366</v>
      </c>
      <c r="B46" s="16" t="s">
        <v>366</v>
      </c>
      <c r="C46" s="28">
        <v>43</v>
      </c>
      <c r="D46" s="29">
        <f t="shared" si="3"/>
        <v>36</v>
      </c>
      <c r="E46" s="29">
        <f t="shared" si="4"/>
        <v>340</v>
      </c>
      <c r="F46" s="36">
        <v>1</v>
      </c>
      <c r="G46" s="32">
        <f t="shared" si="5"/>
        <v>113091.23746155453</v>
      </c>
      <c r="H46" s="32">
        <f t="shared" si="6"/>
        <v>540.9121455396961</v>
      </c>
      <c r="I46" s="32">
        <f t="shared" si="7"/>
        <v>1747091.4851097013</v>
      </c>
      <c r="J46" s="32">
        <f t="shared" si="0"/>
        <v>873545.74255485064</v>
      </c>
      <c r="K46" s="32">
        <v>325</v>
      </c>
      <c r="L46" s="32">
        <v>1.25</v>
      </c>
      <c r="M46" s="32">
        <f t="shared" si="1"/>
        <v>8735.4574255485059</v>
      </c>
      <c r="N46" s="32">
        <f t="shared" si="2"/>
        <v>8735.4574255485059</v>
      </c>
      <c r="O46" s="7">
        <v>125</v>
      </c>
      <c r="P46" s="32">
        <v>60</v>
      </c>
    </row>
    <row r="47" spans="1:16" ht="15" x14ac:dyDescent="0.15">
      <c r="A47" s="16" t="s">
        <v>367</v>
      </c>
      <c r="B47" s="16" t="s">
        <v>367</v>
      </c>
      <c r="C47" s="28">
        <v>44</v>
      </c>
      <c r="D47" s="29">
        <f t="shared" si="3"/>
        <v>36.5</v>
      </c>
      <c r="E47" s="29">
        <f t="shared" si="4"/>
        <v>347.5</v>
      </c>
      <c r="F47" s="36">
        <v>1</v>
      </c>
      <c r="G47" s="32">
        <f t="shared" si="5"/>
        <v>133465.36020463434</v>
      </c>
      <c r="H47" s="32">
        <f t="shared" si="6"/>
        <v>594.47762365704659</v>
      </c>
      <c r="I47" s="32">
        <f t="shared" si="7"/>
        <v>2070540.409854996</v>
      </c>
      <c r="J47" s="32">
        <f t="shared" si="0"/>
        <v>1035270.204927498</v>
      </c>
      <c r="K47" s="32">
        <v>325</v>
      </c>
      <c r="L47" s="32">
        <v>1.25</v>
      </c>
      <c r="M47" s="32">
        <f t="shared" si="1"/>
        <v>10352.70204927498</v>
      </c>
      <c r="N47" s="32">
        <f t="shared" si="2"/>
        <v>10352.70204927498</v>
      </c>
      <c r="O47" s="7">
        <v>125</v>
      </c>
      <c r="P47" s="32">
        <v>60</v>
      </c>
    </row>
    <row r="48" spans="1:16" ht="15" x14ac:dyDescent="0.15">
      <c r="A48" s="16" t="s">
        <v>368</v>
      </c>
      <c r="B48" s="16" t="s">
        <v>368</v>
      </c>
      <c r="C48" s="28">
        <v>45</v>
      </c>
      <c r="D48" s="29">
        <f t="shared" si="3"/>
        <v>37</v>
      </c>
      <c r="E48" s="29">
        <f t="shared" si="4"/>
        <v>355</v>
      </c>
      <c r="F48" s="36">
        <v>1</v>
      </c>
      <c r="G48" s="32">
        <f t="shared" si="5"/>
        <v>157506.82504146852</v>
      </c>
      <c r="H48" s="32">
        <f t="shared" si="6"/>
        <v>653.23895315178015</v>
      </c>
      <c r="I48" s="32">
        <f t="shared" si="7"/>
        <v>2453827.3856781702</v>
      </c>
      <c r="J48" s="32">
        <f t="shared" si="0"/>
        <v>1226913.6928390851</v>
      </c>
      <c r="K48" s="32">
        <v>325</v>
      </c>
      <c r="L48" s="32">
        <v>1.25</v>
      </c>
      <c r="M48" s="32">
        <f t="shared" si="1"/>
        <v>12269.136928390852</v>
      </c>
      <c r="N48" s="32">
        <f t="shared" si="2"/>
        <v>12269.136928390852</v>
      </c>
      <c r="O48" s="7">
        <v>125</v>
      </c>
      <c r="P48" s="32">
        <v>60</v>
      </c>
    </row>
    <row r="49" spans="1:16" ht="15" x14ac:dyDescent="0.15">
      <c r="A49" s="16" t="s">
        <v>369</v>
      </c>
      <c r="B49" s="16" t="s">
        <v>369</v>
      </c>
      <c r="C49" s="28">
        <v>46</v>
      </c>
      <c r="D49" s="29">
        <f t="shared" si="3"/>
        <v>37.5</v>
      </c>
      <c r="E49" s="29">
        <f t="shared" si="4"/>
        <v>362.5</v>
      </c>
      <c r="F49" s="36">
        <v>1</v>
      </c>
      <c r="G49" s="32">
        <f t="shared" si="5"/>
        <v>185875.75354893284</v>
      </c>
      <c r="H49" s="32">
        <f t="shared" si="6"/>
        <v>717.70013160750284</v>
      </c>
      <c r="I49" s="32">
        <f t="shared" si="7"/>
        <v>2908022.4520286317</v>
      </c>
      <c r="J49" s="32">
        <f t="shared" si="0"/>
        <v>1454011.2260143158</v>
      </c>
      <c r="K49" s="32">
        <v>325</v>
      </c>
      <c r="L49" s="32">
        <v>1.25</v>
      </c>
      <c r="M49" s="32">
        <f t="shared" si="1"/>
        <v>14540.112260143158</v>
      </c>
      <c r="N49" s="32">
        <f t="shared" si="2"/>
        <v>14540.112260143158</v>
      </c>
      <c r="O49" s="7">
        <v>125</v>
      </c>
      <c r="P49" s="32">
        <v>70</v>
      </c>
    </row>
    <row r="50" spans="1:16" ht="15" x14ac:dyDescent="0.15">
      <c r="A50" s="16" t="s">
        <v>370</v>
      </c>
      <c r="B50" s="16" t="s">
        <v>370</v>
      </c>
      <c r="C50" s="28">
        <v>47</v>
      </c>
      <c r="D50" s="29">
        <f t="shared" si="3"/>
        <v>38</v>
      </c>
      <c r="E50" s="29">
        <f t="shared" si="4"/>
        <v>370</v>
      </c>
      <c r="F50" s="36">
        <v>1</v>
      </c>
      <c r="G50" s="32">
        <f t="shared" si="5"/>
        <v>219351.08918774076</v>
      </c>
      <c r="H50" s="32">
        <f t="shared" si="6"/>
        <v>788.41404437343056</v>
      </c>
      <c r="I50" s="32">
        <f t="shared" si="7"/>
        <v>3446243.6056539286</v>
      </c>
      <c r="J50" s="32">
        <f t="shared" si="0"/>
        <v>1723121.8028269643</v>
      </c>
      <c r="K50" s="32">
        <v>325</v>
      </c>
      <c r="L50" s="32">
        <v>1.25</v>
      </c>
      <c r="M50" s="32">
        <f t="shared" si="1"/>
        <v>17231.218028269643</v>
      </c>
      <c r="N50" s="32">
        <f t="shared" si="2"/>
        <v>17231.218028269643</v>
      </c>
      <c r="O50" s="7">
        <v>125</v>
      </c>
      <c r="P50" s="32">
        <v>70</v>
      </c>
    </row>
    <row r="51" spans="1:16" ht="15" x14ac:dyDescent="0.15">
      <c r="A51" s="16" t="s">
        <v>371</v>
      </c>
      <c r="B51" s="16" t="s">
        <v>371</v>
      </c>
      <c r="C51" s="28">
        <v>48</v>
      </c>
      <c r="D51" s="29">
        <f t="shared" si="3"/>
        <v>38.5</v>
      </c>
      <c r="E51" s="29">
        <f t="shared" si="4"/>
        <v>377.5</v>
      </c>
      <c r="F51" s="36">
        <v>1</v>
      </c>
      <c r="G51" s="32">
        <f t="shared" si="5"/>
        <v>258851.98524153407</v>
      </c>
      <c r="H51" s="32">
        <f t="shared" si="6"/>
        <v>865.98720667765326</v>
      </c>
      <c r="I51" s="32">
        <f t="shared" si="7"/>
        <v>4084035.6726999055</v>
      </c>
      <c r="J51" s="32">
        <f t="shared" si="0"/>
        <v>2042017.8363499527</v>
      </c>
      <c r="K51" s="32">
        <v>325</v>
      </c>
      <c r="L51" s="32">
        <v>1.25</v>
      </c>
      <c r="M51" s="32">
        <f t="shared" si="1"/>
        <v>20420.178363499526</v>
      </c>
      <c r="N51" s="32">
        <f t="shared" si="2"/>
        <v>20420.178363499526</v>
      </c>
      <c r="O51" s="7">
        <v>125</v>
      </c>
      <c r="P51" s="32">
        <v>70</v>
      </c>
    </row>
    <row r="52" spans="1:16" ht="15" x14ac:dyDescent="0.15">
      <c r="A52" s="16" t="s">
        <v>372</v>
      </c>
      <c r="B52" s="16" t="s">
        <v>372</v>
      </c>
      <c r="C52" s="28">
        <v>49</v>
      </c>
      <c r="D52" s="29">
        <f t="shared" si="3"/>
        <v>39</v>
      </c>
      <c r="E52" s="29">
        <f t="shared" si="4"/>
        <v>385</v>
      </c>
      <c r="F52" s="36">
        <v>1</v>
      </c>
      <c r="G52" s="32">
        <f t="shared" si="5"/>
        <v>305463.04258501017</v>
      </c>
      <c r="H52" s="32">
        <f t="shared" si="6"/>
        <v>951.08496572538559</v>
      </c>
      <c r="I52" s="32">
        <f t="shared" si="7"/>
        <v>4839819.2721493877</v>
      </c>
      <c r="J52" s="32">
        <f t="shared" si="0"/>
        <v>2419909.6360746939</v>
      </c>
      <c r="K52" s="32">
        <v>325</v>
      </c>
      <c r="L52" s="32">
        <v>1.25</v>
      </c>
      <c r="M52" s="32">
        <f t="shared" si="1"/>
        <v>24199.096360746938</v>
      </c>
      <c r="N52" s="32">
        <f t="shared" si="2"/>
        <v>24199.096360746938</v>
      </c>
      <c r="O52" s="7">
        <v>125</v>
      </c>
      <c r="P52" s="32">
        <v>70</v>
      </c>
    </row>
    <row r="53" spans="1:16" ht="15" x14ac:dyDescent="0.15">
      <c r="A53" s="16" t="s">
        <v>373</v>
      </c>
      <c r="B53" s="16" t="s">
        <v>373</v>
      </c>
      <c r="C53" s="28">
        <v>50</v>
      </c>
      <c r="D53" s="29">
        <f t="shared" si="3"/>
        <v>39.5</v>
      </c>
      <c r="E53" s="29">
        <f t="shared" si="4"/>
        <v>392.5</v>
      </c>
      <c r="F53" s="36">
        <v>1</v>
      </c>
      <c r="G53" s="32">
        <f t="shared" si="5"/>
        <v>360464.090250312</v>
      </c>
      <c r="H53" s="32">
        <f t="shared" si="6"/>
        <v>1044.4372074007479</v>
      </c>
      <c r="I53" s="32">
        <f t="shared" si="7"/>
        <v>5735422.8374970248</v>
      </c>
      <c r="J53" s="32">
        <f t="shared" si="0"/>
        <v>2867711.4187485124</v>
      </c>
      <c r="K53" s="32">
        <v>325</v>
      </c>
      <c r="L53" s="32">
        <v>1.25</v>
      </c>
      <c r="M53" s="32">
        <f t="shared" si="1"/>
        <v>28677.114187485124</v>
      </c>
      <c r="N53" s="32">
        <f t="shared" si="2"/>
        <v>28677.114187485124</v>
      </c>
      <c r="O53" s="7">
        <v>125</v>
      </c>
      <c r="P53" s="32">
        <v>70</v>
      </c>
    </row>
    <row r="54" spans="1:16" ht="15" x14ac:dyDescent="0.15">
      <c r="A54" s="16" t="s">
        <v>374</v>
      </c>
      <c r="B54" s="16" t="s">
        <v>374</v>
      </c>
      <c r="C54" s="28">
        <v>51</v>
      </c>
      <c r="D54" s="29">
        <f t="shared" si="3"/>
        <v>40</v>
      </c>
      <c r="E54" s="29">
        <f t="shared" si="4"/>
        <v>400</v>
      </c>
      <c r="F54" s="36">
        <v>1</v>
      </c>
      <c r="G54" s="32">
        <f t="shared" si="5"/>
        <v>425365.32649536815</v>
      </c>
      <c r="H54" s="32">
        <f t="shared" si="6"/>
        <v>1146.8446165186203</v>
      </c>
      <c r="I54" s="32">
        <f t="shared" si="7"/>
        <v>6796713.0624339748</v>
      </c>
      <c r="J54" s="32">
        <f t="shared" si="0"/>
        <v>3398356.5312169874</v>
      </c>
      <c r="K54" s="32">
        <v>325</v>
      </c>
      <c r="L54" s="32">
        <v>1.25</v>
      </c>
      <c r="M54" s="32">
        <f t="shared" si="1"/>
        <v>33983.565312169878</v>
      </c>
      <c r="N54" s="32">
        <f t="shared" si="2"/>
        <v>33983.565312169878</v>
      </c>
      <c r="O54" s="7">
        <v>125</v>
      </c>
      <c r="P54" s="32">
        <v>70</v>
      </c>
    </row>
    <row r="55" spans="1:16" ht="15" x14ac:dyDescent="0.15">
      <c r="A55" s="16" t="s">
        <v>375</v>
      </c>
      <c r="B55" s="16" t="s">
        <v>375</v>
      </c>
      <c r="C55" s="28">
        <v>52</v>
      </c>
      <c r="D55" s="29">
        <f t="shared" si="3"/>
        <v>40.5</v>
      </c>
      <c r="E55" s="29">
        <f t="shared" si="4"/>
        <v>407.5</v>
      </c>
      <c r="F55" s="36">
        <v>1</v>
      </c>
      <c r="G55" s="32">
        <f t="shared" si="5"/>
        <v>501948.78526453441</v>
      </c>
      <c r="H55" s="32">
        <f t="shared" si="6"/>
        <v>1259.1855443209265</v>
      </c>
      <c r="I55" s="32">
        <f t="shared" si="7"/>
        <v>8054341.9789842609</v>
      </c>
      <c r="J55" s="32">
        <f t="shared" si="0"/>
        <v>4027170.9894921305</v>
      </c>
      <c r="K55" s="32">
        <v>325</v>
      </c>
      <c r="L55" s="32">
        <v>1.25</v>
      </c>
      <c r="M55" s="32">
        <f t="shared" si="1"/>
        <v>40271.709894921303</v>
      </c>
      <c r="N55" s="32">
        <f t="shared" si="2"/>
        <v>40271.709894921303</v>
      </c>
      <c r="O55" s="7">
        <v>125</v>
      </c>
      <c r="P55" s="32">
        <v>70</v>
      </c>
    </row>
    <row r="56" spans="1:16" ht="15" x14ac:dyDescent="0.15">
      <c r="A56" s="16" t="s">
        <v>376</v>
      </c>
      <c r="B56" s="16" t="s">
        <v>376</v>
      </c>
      <c r="C56" s="28">
        <v>53</v>
      </c>
      <c r="D56" s="29">
        <f t="shared" si="3"/>
        <v>41</v>
      </c>
      <c r="E56" s="29">
        <f t="shared" si="4"/>
        <v>415</v>
      </c>
      <c r="F56" s="36">
        <v>1</v>
      </c>
      <c r="G56" s="32">
        <f t="shared" si="5"/>
        <v>592317.26661215059</v>
      </c>
      <c r="H56" s="32">
        <f t="shared" si="6"/>
        <v>1382.4235421200563</v>
      </c>
      <c r="I56" s="32">
        <f t="shared" si="7"/>
        <v>9544632.2450963501</v>
      </c>
      <c r="J56" s="32">
        <f t="shared" si="0"/>
        <v>4772316.122548175</v>
      </c>
      <c r="K56" s="32">
        <v>325</v>
      </c>
      <c r="L56" s="32">
        <v>1.25</v>
      </c>
      <c r="M56" s="32">
        <f t="shared" si="1"/>
        <v>47723.161225481752</v>
      </c>
      <c r="N56" s="32">
        <f t="shared" si="2"/>
        <v>47723.161225481752</v>
      </c>
      <c r="O56" s="7">
        <v>125</v>
      </c>
      <c r="P56" s="32">
        <v>70</v>
      </c>
    </row>
    <row r="57" spans="1:16" ht="15" x14ac:dyDescent="0.15">
      <c r="A57" s="16" t="s">
        <v>377</v>
      </c>
      <c r="B57" s="16" t="s">
        <v>377</v>
      </c>
      <c r="C57" s="28">
        <v>54</v>
      </c>
      <c r="D57" s="29">
        <f t="shared" si="3"/>
        <v>41.5</v>
      </c>
      <c r="E57" s="29">
        <f t="shared" si="4"/>
        <v>422.5</v>
      </c>
      <c r="F57" s="36">
        <v>1</v>
      </c>
      <c r="G57" s="32">
        <f t="shared" si="5"/>
        <v>698952.07460233767</v>
      </c>
      <c r="H57" s="32">
        <f t="shared" si="6"/>
        <v>1517.6156257057016</v>
      </c>
      <c r="I57" s="32">
        <f t="shared" si="7"/>
        <v>11310626.210439175</v>
      </c>
      <c r="J57" s="32">
        <f t="shared" si="0"/>
        <v>5655313.1052195877</v>
      </c>
      <c r="K57" s="32">
        <v>325</v>
      </c>
      <c r="L57" s="32">
        <v>1.25</v>
      </c>
      <c r="M57" s="32">
        <f t="shared" si="1"/>
        <v>56553.13105219588</v>
      </c>
      <c r="N57" s="32">
        <f t="shared" si="2"/>
        <v>56553.13105219588</v>
      </c>
      <c r="O57" s="7">
        <v>125</v>
      </c>
      <c r="P57" s="32">
        <v>70</v>
      </c>
    </row>
    <row r="58" spans="1:16" ht="15" x14ac:dyDescent="0.15">
      <c r="A58" s="16" t="s">
        <v>378</v>
      </c>
      <c r="B58" s="16" t="s">
        <v>378</v>
      </c>
      <c r="C58" s="28">
        <v>55</v>
      </c>
      <c r="D58" s="29">
        <f t="shared" si="3"/>
        <v>42</v>
      </c>
      <c r="E58" s="29">
        <f t="shared" si="4"/>
        <v>430</v>
      </c>
      <c r="F58" s="36">
        <v>1</v>
      </c>
      <c r="G58" s="32">
        <f t="shared" si="5"/>
        <v>824781.14803075837</v>
      </c>
      <c r="H58" s="32">
        <f t="shared" si="6"/>
        <v>1665.9213413991547</v>
      </c>
      <c r="I58" s="32">
        <f t="shared" si="7"/>
        <v>13403329.059370423</v>
      </c>
      <c r="J58" s="32">
        <f t="shared" si="0"/>
        <v>6701664.5296852114</v>
      </c>
      <c r="K58" s="32">
        <v>325</v>
      </c>
      <c r="L58" s="32">
        <v>1.25</v>
      </c>
      <c r="M58" s="32">
        <f t="shared" si="1"/>
        <v>67016.645296852119</v>
      </c>
      <c r="N58" s="32">
        <f t="shared" si="2"/>
        <v>67016.645296852119</v>
      </c>
      <c r="O58" s="7">
        <v>125</v>
      </c>
      <c r="P58" s="32">
        <v>70</v>
      </c>
    </row>
    <row r="59" spans="1:16" ht="15" x14ac:dyDescent="0.15">
      <c r="A59" s="16" t="s">
        <v>379</v>
      </c>
      <c r="B59" s="16" t="s">
        <v>379</v>
      </c>
      <c r="C59" s="28">
        <v>56</v>
      </c>
      <c r="D59" s="29">
        <f t="shared" si="3"/>
        <v>42.5</v>
      </c>
      <c r="E59" s="29">
        <f t="shared" si="4"/>
        <v>437.5</v>
      </c>
      <c r="F59" s="36">
        <v>1</v>
      </c>
      <c r="G59" s="32">
        <f t="shared" si="5"/>
        <v>973259.45467629482</v>
      </c>
      <c r="H59" s="32">
        <f t="shared" si="6"/>
        <v>1828.6127115148727</v>
      </c>
      <c r="I59" s="32">
        <f t="shared" si="7"/>
        <v>15883181.935353952</v>
      </c>
      <c r="J59" s="32">
        <f t="shared" si="0"/>
        <v>7941590.9676769758</v>
      </c>
      <c r="K59" s="32">
        <v>325</v>
      </c>
      <c r="L59" s="32">
        <v>1.25</v>
      </c>
      <c r="M59" s="32">
        <f t="shared" si="1"/>
        <v>79415.909676769763</v>
      </c>
      <c r="N59" s="32">
        <f t="shared" si="2"/>
        <v>79415.909676769763</v>
      </c>
      <c r="O59" s="7">
        <v>125</v>
      </c>
      <c r="P59" s="32">
        <v>80</v>
      </c>
    </row>
    <row r="60" spans="1:16" ht="15" x14ac:dyDescent="0.15">
      <c r="A60" s="16" t="s">
        <v>380</v>
      </c>
      <c r="B60" s="16" t="s">
        <v>380</v>
      </c>
      <c r="C60" s="28">
        <v>57</v>
      </c>
      <c r="D60" s="29">
        <f t="shared" si="3"/>
        <v>43</v>
      </c>
      <c r="E60" s="29">
        <f t="shared" si="4"/>
        <v>445</v>
      </c>
      <c r="F60" s="36">
        <v>1</v>
      </c>
      <c r="G60" s="32">
        <f t="shared" si="5"/>
        <v>1148463.8565180278</v>
      </c>
      <c r="H60" s="32">
        <f t="shared" si="6"/>
        <v>2007.0851445318153</v>
      </c>
      <c r="I60" s="32">
        <f t="shared" si="7"/>
        <v>18821807.593394432</v>
      </c>
      <c r="J60" s="32">
        <f t="shared" si="0"/>
        <v>9410903.7966972161</v>
      </c>
      <c r="K60" s="32">
        <v>325</v>
      </c>
      <c r="L60" s="32">
        <v>1.25</v>
      </c>
      <c r="M60" s="32">
        <f t="shared" si="1"/>
        <v>94109.037966972159</v>
      </c>
      <c r="N60" s="32">
        <f t="shared" si="2"/>
        <v>94109.037966972159</v>
      </c>
      <c r="O60" s="7">
        <v>125</v>
      </c>
      <c r="P60" s="32">
        <v>80</v>
      </c>
    </row>
    <row r="61" spans="1:16" ht="15" x14ac:dyDescent="0.15">
      <c r="A61" s="16" t="s">
        <v>381</v>
      </c>
      <c r="B61" s="16" t="s">
        <v>381</v>
      </c>
      <c r="C61" s="28">
        <v>58</v>
      </c>
      <c r="D61" s="29">
        <f t="shared" si="3"/>
        <v>43.5</v>
      </c>
      <c r="E61" s="29">
        <f t="shared" si="4"/>
        <v>452.5</v>
      </c>
      <c r="F61" s="36">
        <v>1</v>
      </c>
      <c r="G61" s="32">
        <f t="shared" si="5"/>
        <v>1355205.0506912728</v>
      </c>
      <c r="H61" s="32">
        <f t="shared" si="6"/>
        <v>2202.8694035514013</v>
      </c>
      <c r="I61" s="32">
        <f t="shared" si="7"/>
        <v>22304078.998172402</v>
      </c>
      <c r="J61" s="32">
        <f t="shared" si="0"/>
        <v>11152039.499086201</v>
      </c>
      <c r="K61" s="32">
        <v>325</v>
      </c>
      <c r="L61" s="32">
        <v>1.25</v>
      </c>
      <c r="M61" s="32">
        <f t="shared" si="1"/>
        <v>111520.39499086201</v>
      </c>
      <c r="N61" s="32">
        <f t="shared" si="2"/>
        <v>111520.39499086201</v>
      </c>
      <c r="O61" s="7">
        <v>125</v>
      </c>
      <c r="P61" s="32">
        <v>80</v>
      </c>
    </row>
    <row r="62" spans="1:16" ht="15" x14ac:dyDescent="0.15">
      <c r="A62" s="16" t="s">
        <v>382</v>
      </c>
      <c r="B62" s="16" t="s">
        <v>382</v>
      </c>
      <c r="C62" s="28">
        <v>59</v>
      </c>
      <c r="D62" s="29">
        <f t="shared" si="3"/>
        <v>44</v>
      </c>
      <c r="E62" s="29">
        <f t="shared" si="4"/>
        <v>460</v>
      </c>
      <c r="F62" s="36">
        <v>1</v>
      </c>
      <c r="G62" s="32">
        <f t="shared" si="5"/>
        <v>1599159.6598157019</v>
      </c>
      <c r="H62" s="32">
        <f t="shared" si="6"/>
        <v>2417.644735695887</v>
      </c>
      <c r="I62" s="32">
        <f t="shared" si="7"/>
        <v>26430570.612834297</v>
      </c>
      <c r="J62" s="32">
        <f t="shared" si="0"/>
        <v>13215285.306417149</v>
      </c>
      <c r="K62" s="32">
        <v>325</v>
      </c>
      <c r="L62" s="32">
        <v>1.25</v>
      </c>
      <c r="M62" s="32">
        <f t="shared" si="1"/>
        <v>132152.85306417148</v>
      </c>
      <c r="N62" s="32">
        <f t="shared" si="2"/>
        <v>132152.85306417148</v>
      </c>
      <c r="O62" s="7">
        <v>125</v>
      </c>
      <c r="P62" s="32">
        <v>80</v>
      </c>
    </row>
    <row r="63" spans="1:16" ht="15" x14ac:dyDescent="0.15">
      <c r="A63" s="16" t="s">
        <v>383</v>
      </c>
      <c r="B63" s="16" t="s">
        <v>383</v>
      </c>
      <c r="C63" s="28">
        <v>60</v>
      </c>
      <c r="D63" s="29">
        <f t="shared" si="3"/>
        <v>44.5</v>
      </c>
      <c r="E63" s="29">
        <f t="shared" si="4"/>
        <v>467.5</v>
      </c>
      <c r="F63" s="36">
        <v>1</v>
      </c>
      <c r="G63" s="32">
        <f t="shared" si="5"/>
        <v>1887026.0985825281</v>
      </c>
      <c r="H63" s="32">
        <f t="shared" si="6"/>
        <v>2653.2532750583878</v>
      </c>
      <c r="I63" s="32">
        <f t="shared" si="7"/>
        <v>31320463.176208645</v>
      </c>
      <c r="J63" s="32">
        <f t="shared" si="0"/>
        <v>15660231.588104323</v>
      </c>
      <c r="K63" s="32">
        <v>325</v>
      </c>
      <c r="L63" s="32">
        <v>1.25</v>
      </c>
      <c r="M63" s="32">
        <f t="shared" si="1"/>
        <v>156602.31588104324</v>
      </c>
      <c r="N63" s="32">
        <f t="shared" si="2"/>
        <v>156602.31588104324</v>
      </c>
      <c r="O63" s="7">
        <v>125</v>
      </c>
      <c r="P63" s="32">
        <v>80</v>
      </c>
    </row>
    <row r="64" spans="1:16" ht="15" x14ac:dyDescent="0.15">
      <c r="A64" s="23" t="s">
        <v>467</v>
      </c>
      <c r="B64" s="23" t="s">
        <v>467</v>
      </c>
      <c r="C64" s="30">
        <v>10</v>
      </c>
      <c r="D64" s="29">
        <f>D13*40</f>
        <v>780</v>
      </c>
      <c r="E64" s="29">
        <f t="shared" ref="E64:E69" si="8">E63+5</f>
        <v>472.5</v>
      </c>
      <c r="F64" s="26">
        <v>100</v>
      </c>
      <c r="G64" s="25">
        <f>G13*7.5</f>
        <v>2866.3062605604532</v>
      </c>
      <c r="H64" s="25">
        <f t="shared" ref="H64:J64" si="9">H13*7.5</f>
        <v>110.32468291472946</v>
      </c>
      <c r="I64" s="25">
        <f t="shared" si="9"/>
        <v>38807.978731873998</v>
      </c>
      <c r="J64" s="25">
        <f t="shared" si="9"/>
        <v>19403.989365936999</v>
      </c>
      <c r="K64" s="25">
        <v>325</v>
      </c>
      <c r="L64" s="25">
        <v>1</v>
      </c>
      <c r="M64" s="32">
        <f t="shared" si="1"/>
        <v>194.03989365936999</v>
      </c>
      <c r="N64" s="32">
        <f t="shared" si="2"/>
        <v>194.03989365936999</v>
      </c>
      <c r="O64" s="7">
        <v>125</v>
      </c>
      <c r="P64" s="22">
        <v>40</v>
      </c>
    </row>
    <row r="65" spans="1:16" ht="15" x14ac:dyDescent="0.15">
      <c r="A65" s="23" t="s">
        <v>468</v>
      </c>
      <c r="B65" s="23" t="s">
        <v>468</v>
      </c>
      <c r="C65" s="30">
        <v>20</v>
      </c>
      <c r="D65" s="29">
        <f>D23*40</f>
        <v>980</v>
      </c>
      <c r="E65" s="29">
        <f t="shared" si="8"/>
        <v>477.5</v>
      </c>
      <c r="F65" s="26">
        <v>100</v>
      </c>
      <c r="G65" s="25">
        <f>G23*7.5</f>
        <v>18124.22933552316</v>
      </c>
      <c r="H65" s="25">
        <f t="shared" ref="H65:J65" si="10">H23*7.5</f>
        <v>407.69838218729683</v>
      </c>
      <c r="I65" s="25">
        <f t="shared" si="10"/>
        <v>254738.16310690044</v>
      </c>
      <c r="J65" s="25">
        <f t="shared" si="10"/>
        <v>127369.08155345022</v>
      </c>
      <c r="K65" s="25">
        <v>325</v>
      </c>
      <c r="L65" s="25">
        <v>1</v>
      </c>
      <c r="M65" s="32">
        <f t="shared" si="1"/>
        <v>1273.6908155345022</v>
      </c>
      <c r="N65" s="32">
        <f t="shared" si="2"/>
        <v>1273.6908155345022</v>
      </c>
      <c r="O65" s="7">
        <v>125</v>
      </c>
      <c r="P65" s="22">
        <v>60</v>
      </c>
    </row>
    <row r="66" spans="1:16" ht="15" x14ac:dyDescent="0.15">
      <c r="A66" s="23" t="s">
        <v>469</v>
      </c>
      <c r="B66" s="23" t="s">
        <v>469</v>
      </c>
      <c r="C66" s="30">
        <v>30</v>
      </c>
      <c r="D66" s="29">
        <f>D33*40</f>
        <v>1180</v>
      </c>
      <c r="E66" s="29">
        <f t="shared" si="8"/>
        <v>482.5</v>
      </c>
      <c r="F66" s="26">
        <v>100</v>
      </c>
      <c r="G66" s="25">
        <f>G33*7.5</f>
        <v>97981.689602386497</v>
      </c>
      <c r="H66" s="25">
        <f t="shared" ref="H66:J66" si="11">H33*7.5</f>
        <v>1158.2297210498807</v>
      </c>
      <c r="I66" s="25">
        <f t="shared" si="11"/>
        <v>1433692.1597601464</v>
      </c>
      <c r="J66" s="25">
        <f t="shared" si="11"/>
        <v>716846.0798800732</v>
      </c>
      <c r="K66" s="25">
        <v>325</v>
      </c>
      <c r="L66" s="25">
        <v>1</v>
      </c>
      <c r="M66" s="32">
        <f t="shared" si="1"/>
        <v>7168.4607988007319</v>
      </c>
      <c r="N66" s="32">
        <f t="shared" si="2"/>
        <v>7168.4607988007319</v>
      </c>
      <c r="O66" s="7">
        <v>125</v>
      </c>
      <c r="P66" s="22">
        <v>80</v>
      </c>
    </row>
    <row r="67" spans="1:16" ht="15" x14ac:dyDescent="0.15">
      <c r="A67" s="23" t="s">
        <v>470</v>
      </c>
      <c r="B67" s="23" t="s">
        <v>470</v>
      </c>
      <c r="C67" s="30">
        <v>40</v>
      </c>
      <c r="D67" s="29">
        <f t="shared" ref="D67:D69" si="12">D66+267</f>
        <v>1447</v>
      </c>
      <c r="E67" s="29">
        <f t="shared" si="8"/>
        <v>487.5</v>
      </c>
      <c r="F67" s="26">
        <v>100</v>
      </c>
      <c r="G67" s="25">
        <f>G43*7.5</f>
        <v>515942.50438315206</v>
      </c>
      <c r="H67" s="25">
        <f t="shared" ref="H67:J67" si="13">H43*7.5</f>
        <v>3052.4701733588618</v>
      </c>
      <c r="I67" s="25">
        <f t="shared" si="13"/>
        <v>7870645.5215496859</v>
      </c>
      <c r="J67" s="25">
        <f t="shared" si="13"/>
        <v>3935322.7607748429</v>
      </c>
      <c r="K67" s="25">
        <v>325</v>
      </c>
      <c r="L67" s="25">
        <v>1</v>
      </c>
      <c r="M67" s="32">
        <f t="shared" si="1"/>
        <v>39353.227607748428</v>
      </c>
      <c r="N67" s="32">
        <f t="shared" si="2"/>
        <v>39353.227607748428</v>
      </c>
      <c r="O67" s="7">
        <v>125</v>
      </c>
      <c r="P67" s="22">
        <v>100</v>
      </c>
    </row>
    <row r="68" spans="1:16" ht="15" x14ac:dyDescent="0.15">
      <c r="A68" s="23" t="s">
        <v>471</v>
      </c>
      <c r="B68" s="23" t="s">
        <v>471</v>
      </c>
      <c r="C68" s="30">
        <v>50</v>
      </c>
      <c r="D68" s="29">
        <f t="shared" si="12"/>
        <v>1714</v>
      </c>
      <c r="E68" s="29">
        <f t="shared" si="8"/>
        <v>492.5</v>
      </c>
      <c r="F68" s="26">
        <v>100</v>
      </c>
      <c r="G68" s="25">
        <f>G53*7.5</f>
        <v>2703480.6768773398</v>
      </c>
      <c r="H68" s="25">
        <f t="shared" ref="H68:J68" si="14">H53*7.5</f>
        <v>7833.279055505609</v>
      </c>
      <c r="I68" s="25">
        <f t="shared" si="14"/>
        <v>43015671.281227686</v>
      </c>
      <c r="J68" s="25">
        <f t="shared" si="14"/>
        <v>21507835.640613843</v>
      </c>
      <c r="K68" s="25">
        <v>325</v>
      </c>
      <c r="L68" s="25">
        <v>1</v>
      </c>
      <c r="M68" s="32">
        <f t="shared" si="1"/>
        <v>215078.35640613842</v>
      </c>
      <c r="N68" s="32">
        <f t="shared" si="2"/>
        <v>215078.35640613842</v>
      </c>
      <c r="O68" s="7">
        <v>125</v>
      </c>
      <c r="P68" s="22">
        <v>120</v>
      </c>
    </row>
    <row r="69" spans="1:16" ht="15" x14ac:dyDescent="0.15">
      <c r="A69" s="23" t="s">
        <v>472</v>
      </c>
      <c r="B69" s="23" t="s">
        <v>472</v>
      </c>
      <c r="C69" s="30">
        <v>60</v>
      </c>
      <c r="D69" s="29">
        <f t="shared" si="12"/>
        <v>1981</v>
      </c>
      <c r="E69" s="29">
        <f t="shared" si="8"/>
        <v>497.5</v>
      </c>
      <c r="F69" s="26">
        <v>100</v>
      </c>
      <c r="G69" s="25">
        <f>G63*7.5</f>
        <v>14152695.73936896</v>
      </c>
      <c r="H69" s="25">
        <f t="shared" ref="H69:J69" si="15">H63*7.5</f>
        <v>19899.39956293791</v>
      </c>
      <c r="I69" s="25">
        <f t="shared" si="15"/>
        <v>234903473.82156485</v>
      </c>
      <c r="J69" s="25">
        <f t="shared" si="15"/>
        <v>117451736.91078243</v>
      </c>
      <c r="K69" s="25">
        <v>325</v>
      </c>
      <c r="L69" s="25">
        <v>1</v>
      </c>
      <c r="M69" s="32">
        <f t="shared" ref="M69" si="16">I69*0.01*0.5</f>
        <v>1174517.3691078243</v>
      </c>
      <c r="N69" s="32">
        <f t="shared" ref="N69" si="17">J69*0.01</f>
        <v>1174517.3691078243</v>
      </c>
      <c r="O69" s="7">
        <v>125</v>
      </c>
      <c r="P69" s="22">
        <v>140</v>
      </c>
    </row>
    <row r="70" spans="1:16" x14ac:dyDescent="0.15">
      <c r="A70" s="24" t="s">
        <v>473</v>
      </c>
      <c r="B70" s="24" t="s">
        <v>473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7">
        <v>125</v>
      </c>
      <c r="P70" s="22">
        <v>30</v>
      </c>
    </row>
    <row r="71" spans="1:16" x14ac:dyDescent="0.15">
      <c r="A71" s="24" t="s">
        <v>474</v>
      </c>
      <c r="B71" s="24" t="s">
        <v>474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7">
        <v>125</v>
      </c>
      <c r="P71" s="22">
        <v>40</v>
      </c>
    </row>
    <row r="72" spans="1:16" x14ac:dyDescent="0.15">
      <c r="A72" s="24" t="s">
        <v>475</v>
      </c>
      <c r="B72" s="24" t="s">
        <v>475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7">
        <v>125</v>
      </c>
      <c r="P72" s="22">
        <v>50</v>
      </c>
    </row>
    <row r="73" spans="1:16" x14ac:dyDescent="0.15">
      <c r="A73" s="24" t="s">
        <v>476</v>
      </c>
      <c r="B73" s="24" t="s">
        <v>476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7">
        <v>125</v>
      </c>
      <c r="P73" s="22">
        <v>60</v>
      </c>
    </row>
    <row r="74" spans="1:16" x14ac:dyDescent="0.15">
      <c r="A74" s="24" t="s">
        <v>477</v>
      </c>
      <c r="B74" s="24" t="s">
        <v>477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7">
        <v>125</v>
      </c>
      <c r="P74" s="22">
        <v>70</v>
      </c>
    </row>
    <row r="75" spans="1:16" x14ac:dyDescent="0.15">
      <c r="A75" s="24" t="s">
        <v>478</v>
      </c>
      <c r="B75" s="24" t="s">
        <v>478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7">
        <v>125</v>
      </c>
      <c r="P75" s="22">
        <v>80</v>
      </c>
    </row>
    <row r="76" spans="1:16" ht="15" x14ac:dyDescent="0.15">
      <c r="A76" s="23" t="s">
        <v>465</v>
      </c>
      <c r="B76" s="23" t="s">
        <v>465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8">H69*1.25</f>
        <v>24874.249453672386</v>
      </c>
      <c r="I76" s="25">
        <f t="shared" si="18"/>
        <v>293629342.27695608</v>
      </c>
      <c r="J76" s="25">
        <f t="shared" si="18"/>
        <v>146814671.13847804</v>
      </c>
      <c r="K76" s="25">
        <v>400</v>
      </c>
      <c r="L76" s="32">
        <v>1</v>
      </c>
      <c r="M76" s="32">
        <f t="shared" ref="M76:M77" si="19">I76*0.01*0.5</f>
        <v>1468146.7113847805</v>
      </c>
      <c r="N76" s="32">
        <f t="shared" ref="N76:N77" si="20">J76*0.01</f>
        <v>1468146.7113847805</v>
      </c>
      <c r="O76" s="7">
        <v>125</v>
      </c>
      <c r="P76" s="32">
        <v>200</v>
      </c>
    </row>
    <row r="77" spans="1:16" x14ac:dyDescent="0.15">
      <c r="A77" s="24" t="s">
        <v>513</v>
      </c>
      <c r="B77" s="24" t="s">
        <v>513</v>
      </c>
      <c r="C77" s="30">
        <v>0</v>
      </c>
      <c r="D77" s="29">
        <f t="shared" ref="D77" si="21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22">H69*0.95</f>
        <v>18904.429584791014</v>
      </c>
      <c r="I77" s="37">
        <f t="shared" si="22"/>
        <v>223158300.13048661</v>
      </c>
      <c r="J77" s="37">
        <f t="shared" si="22"/>
        <v>111579150.0652433</v>
      </c>
      <c r="K77" s="25">
        <v>325</v>
      </c>
      <c r="L77" s="32">
        <v>1</v>
      </c>
      <c r="M77" s="32">
        <f t="shared" si="19"/>
        <v>1115791.5006524331</v>
      </c>
      <c r="N77" s="32">
        <f t="shared" si="20"/>
        <v>1115791.5006524331</v>
      </c>
      <c r="O77" s="7">
        <v>125</v>
      </c>
      <c r="P77" s="22">
        <v>140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2019-04-17T14:50:41Z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