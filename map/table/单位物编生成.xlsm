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076D83A1-5D9D-4D46-A2F8-2000ACB06C42}" xr6:coauthVersionLast="40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M4" i="30"/>
  <c r="J4" i="30"/>
  <c r="N4" i="30" s="1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<sst xmlns="http://schemas.openxmlformats.org/spreadsheetml/2006/main" count="809" uniqueCount="511">
  <si>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</si>
  <si>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</si>
  <si>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</si>
  <si>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</si>
  <si>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</si>
  <si>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</si>
  <si>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</si>
  <si>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</si>
  <si>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</si>
  <si>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</si>
  <si>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</si>
  <si>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</si>
  <si>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</si>
  <si>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</si>
  <si>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</si>
  <si>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</si>
  <si>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</si>
  <si>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</si>
  <si>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</si>
  <si>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</si>
  <si>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</si>
  <si>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</si>
  <si>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</si>
  <si>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</si>
  <si>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</si>
  <si>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</si>
  <si>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</si>
  <si>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</si>
  <si>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</si>
  <si>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</si>
  <si>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</si>
  <si>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</si>
  <si>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</si>
  <si>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</si>
  <si>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</si>
  <si>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</si>
  <si>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</si>
  <si>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</si>
  <si>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</si>
  <si>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</si>
  <si>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</si>
  <si>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</si>
  <si>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</si>
  <si>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</si>
  <si>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</si>
  <si>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</si>
  <si>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</si>
  <si>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</si>
  <si>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</si>
  <si>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</si>
  <si>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</si>
  <si>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</si>
  <si>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</si>
  <si>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</si>
  <si>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</si>
  <si>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</si>
  <si>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</si>
  <si>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</si>
  <si>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</si>
  <si>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</si>
  <si>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</si>
  <si>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</si>
  <si>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</si>
  <si>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</si>
  <si>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</si>
  <si>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</si>
  <si>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</si>
  <si>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</si>
  <si>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</si>
  <si>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</si>
  <si>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</si>
  <si>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</si>
  <si>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</si>
  <si>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</si>
  <si>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</si>
  <si>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</si>
  <si>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</si>
  <si>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</si>
  <si>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</si>
  <si>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</si>
  <si>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</si>
  <si>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</si>
  <si>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</si>
  <si>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</si>
  <si>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</si>
  <si>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</si>
  <si>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</si>
  <si>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</si>
  <si>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</si>
  <si>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</si>
  <si>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</si>
  <si>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</si>
  <si>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</si>
  <si>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</si>
  <si>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</si>
  <si>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</si>
  <si>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</si>
  <si>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</si>
  <si>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</si>
  <si>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</si>
  <si>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</si>
  <si>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</si>
  <si>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</si>
  <si>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</si>
  <si>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</si>
  <si>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</si>
  <si>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</si>
  <si>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</si>
  <si>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</si>
  <si>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</si>
  <si>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</si>
  <si>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</si>
  <si>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</si>
  <si>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</si>
  <si>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</si>
  <si>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</si>
  <si>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</si>
  <si>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</si>
  <si>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</si>
  <si>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</si>
  <si>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</si>
  <si>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</si>
  <si>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</si>
  <si>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</si>
  <si>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</si>
  <si>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</si>
  <si>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</si>
  <si>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</si>
  <si>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</si>
  <si>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</si>
  <si>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</si>
  <si>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</si>
  <si>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</si>
  <si>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</si>
  <si>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</si>
  <si>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</si>
  <si>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</si>
  <si>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</si>
  <si>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</si>
  <si>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</si>
  <si>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</si>
  <si>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</si>
  <si>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</si>
  <si>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</si>
  <si>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</si>
  <si>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</si>
  <si>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</si>
  <si>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</si>
  <si>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</si>
  <si>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</si>
  <si>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</si>
  <si>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</si>
  <si>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</si>
  <si>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</si>
  <si>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</si>
  <si>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</si>
  <si>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</si>
  <si>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</si>
  <si>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</si>
  <si>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</si>
  <si>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</si>
  <si>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</si>
  <si>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</si>
  <si>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</si>
  <si>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</si>
  <si>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</si>
  <si>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</si>
  <si>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</si>
  <si>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</si>
  <si>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</si>
  <si>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</si>
  <si>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</si>
  <si>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</si>
  <si>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</si>
  <si>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</si>
  <si>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</si>
  <si>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</si>
  <si>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</si>
  <si>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</si>
  <si>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</si>
  <si>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</si>
  <si>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</si>
  <si>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</si>
  <si>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</si>
  <si>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</si>
  <si>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</si>
  <si>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</si>
  <si>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</si>
  <si>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</si>
  <si>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</si>
  <si>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</si>
  <si>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</si>
  <si>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</si>
  <si>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</si>
  <si>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</si>
  <si>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</si>
  <si>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</si>
  <si>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</si>
  <si>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</si>
  <si>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</si>
  <si>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</si>
  <si>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</si>
  <si>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</si>
  <si>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</si>
  <si>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</si>
  <si>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</si>
  <si>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</si>
  <si>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</si>
  <si>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</si>
  <si>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</si>
  <si>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</si>
  <si>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</si>
  <si>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</si>
  <si>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</si>
  <si>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</si>
  <si>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</si>
  <si>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</si>
  <si>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</si>
  <si>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</si>
  <si>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</si>
  <si>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</si>
  <si>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</si>
  <si>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</si>
  <si>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</si>
  <si>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</si>
  <si>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</si>
  <si>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</si>
  <si>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</si>
  <si>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</si>
  <si>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</si>
  <si>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</si>
  <si>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</si>
  <si>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</si>
  <si>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</si>
  <si>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</si>
  <si>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</si>
  <si>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</si>
  <si>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</si>
  <si>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</si>
  <si>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</si>
  <si>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</si>
  <si>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</si>
  <si>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</si>
  <si>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</si>
  <si>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</si>
  <si>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</si>
  <si>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</si>
  <si>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</si>
  <si>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</si>
  <si>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</si>
  <si>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</si>
  <si>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</si>
  <si>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</si>
  <si>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</si>
  <si>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</si>
  <si>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</si>
  <si>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</si>
  <si>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</si>
  <si>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</si>
  <si>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</si>
  <si>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</si>
  <si>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</si>
  <si>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</si>
  <si>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</si>
  <si>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</si>
  <si>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</si>
  <si>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</si>
  <si>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</si>
  <si>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</si>
  <si>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</si>
  <si>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</si>
  <si>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</si>
  <si>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</si>
  <si>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</si>
  <si>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</si>
  <si>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</si>
  <si>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</si>
  <si>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</si>
  <si>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</si>
  <si>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</si>
  <si>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</si>
  <si>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</si>
  <si>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</si>
  <si>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</si>
  <si>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</si>
  <si>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</si>
  <si>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</si>
  <si>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</si>
  <si>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</si>
  <si>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</si>
  <si>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</si>
  <si>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</si>
  <si>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</si>
  <si>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</si>
  <si>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</si>
  <si>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</si>
  <si>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</si>
  <si>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</si>
  <si>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</si>
  <si>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</si>
  <si>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</si>
  <si>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</si>
  <si>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</si>
  <si>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</si>
  <si>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</si>
  <si>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</si>
  <si>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</si>
  <si>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</si>
  <si>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</si>
  <si>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</si>
  <si>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</si>
  <si>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</si>
  <si>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</si>
  <si>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</si>
  <si>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</si>
  <si>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</si>
  <si>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</si>
  <si>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</si>
  <si>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</si>
  <si>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</si>
  <si>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</si>
  <si>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</si>
  <si>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</si>
  <si>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</si>
  <si>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</si>
  <si>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</si>
  <si>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</si>
  <si>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</si>
  <si>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</si>
  <si>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</si>
  <si>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</si>
  <si>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</si>
  <si>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</si>
  <si>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</si>
  <si>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</si>
  <si>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</si>
  <si>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</si>
  <si>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</si>
  <si>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</si>
  <si>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</si>
  <si>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</si>
  <si>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</si>
  <si>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</si>
  <si>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</si>
  <si>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</si>
  <si>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</si>
  <si>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</si>
  <si>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</si>
  <si>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</si>
  <si>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</si>
  <si>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</si>
  <si>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</si>
  <si>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</si>
  <si>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</si>
  <si>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</si>
  <si>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</si>
  <si>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</si>
  <si>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</si>
  <si>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</si>
  <si>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</si>
  <si>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</si>
  <si>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</si>
  <si>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</si>
  <si>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</si>
  <si>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</si>
  <si>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</si>
  <si>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</si>
  <si>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</si>
  <si>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</si>
  <si>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</si>
  <si>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</si>
  <si>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</si>
  <si>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</si>
  <si>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</si>
  <si>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</si>
  <si>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</si>
  <si>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</si>
  <si>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</si>
  <si>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</si>
  <si>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</si>
  <si>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</si>
  <si>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</si>
  <si>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</si>
  <si>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</si>
  <si>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</si>
  <si>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</si>
  <si>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</si>
  <si>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</si>
  <si>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</si>
  <si>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</si>
  <si>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</si>
  <si>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</si>
  <si>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</si>
  <si>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</si>
  <si>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</si>
  <si>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</si>
  <si>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</si>
  <si>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</si>
  <si>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</si>
  <si>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</si>
  <si>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</si>
  <si>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</si>
  <si>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</si>
  <si>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</si>
  <si>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</si>
  <si>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</si>
  <si>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</si>
  <si>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</si>
  <si>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</si>
  <si>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</si>
  <si>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</si>
  <si>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</si>
  <si>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</si>
  <si>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</si>
  <si>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</si>
  <si>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</si>
  <si>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</si>
  <si>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</si>
  <si>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</si>
  <si>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</si>
  <si>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</si>
  <si>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</si>
  <si>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</si>
  <si>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</si>
  <si>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</si>
  <si>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</si>
  <si>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</si>
  <si>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</si>
  <si>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</si>
  <si>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</si>
  <si>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</si>
  <si>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</si>
  <si>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</si>
  <si>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</si>
  <si>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</si>
  <si>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</si>
  <si>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</si>
  <si>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</si>
  <si>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</si>
  <si>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</si>
  <si>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</si>
  <si>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</si>
  <si>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</si>
  <si>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</si>
  <si>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</si>
  <si>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</si>
  <si>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</si>
  <si>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</si>
  <si>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</si>
  <si>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</si>
  <si>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</si>
  <si>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</si>
  <si>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</si>
  <si>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</si>
  <si>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</si>
  <si>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</si>
  <si>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</si>
  <si>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</si>
  <si>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</si>
  <si>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</si>
  <si>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</si>
  <si>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</si>
  <si>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</si>
  <si>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</si>
  <si>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</si>
  <si>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</si>
  <si>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</si>
  <si>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</si>
  <si>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</si>
  <si>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</si>
  <si>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</si>
  <si>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</si>
  <si>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</si>
  <si>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</si>
  <si>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</si>
  <si>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</si>
  <si>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</si>
  <si>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</si>
  <si>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</si>
  <si>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</si>
  <si>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</si>
  <si>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</si>
  <si>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</si>
  <si>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</si>
  <si>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</si>
  <si>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</si>
  <si>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</si>
  <si>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</si>
  <si>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</si>
  <si>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</si>
  <si>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</si>
  <si>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</si>
  <si>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</si>
  <si>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</si>
  <si>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</si>
  <si>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</si>
  <si>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</si>
  <si>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</si>
  <si>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</si>
  <si>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</si>
  <si>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</si>
  <si>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</si>
  <si>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</si>
  <si>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</si>
  <si>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6" type="noConversion"/>
  </si>
  <si>
    <t>osw3</t>
    <phoneticPr fontId="6" type="noConversion"/>
  </si>
  <si>
    <t>ninf</t>
    <phoneticPr fontId="6" type="noConversion"/>
  </si>
  <si>
    <t>hgyr</t>
    <phoneticPr fontId="6" type="noConversion"/>
  </si>
  <si>
    <t>nwe1</t>
    <phoneticPr fontId="6" type="noConversion"/>
  </si>
  <si>
    <t>hmtt</t>
    <phoneticPr fontId="6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</si>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</sst>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5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workbookViewId="0">
      <pane xSplit="1" ySplit="3" topLeftCell="B82" activePane="bottomRight" state="frozen"/>
      <selection pane="topRight"/>
      <selection pane="bottomLeft"/>
      <selection pane="bottomRight" activeCell="F94" sqref="F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14" t="s">
        <v>505</v>
      </c>
      <c r="C94" s="27" t="s">
        <v>480</v>
      </c>
    </row>
    <row r="95" spans="1:5" ht="15" x14ac:dyDescent="0.15">
      <c r="A95" s="26" t="s">
        <v>472</v>
      </c>
      <c r="B95" s="14" t="s">
        <v>506</v>
      </c>
      <c r="C95" s="27" t="s">
        <v>481</v>
      </c>
    </row>
    <row r="96" spans="1:5" ht="15" x14ac:dyDescent="0.15">
      <c r="A96" s="26" t="s">
        <v>473</v>
      </c>
      <c r="B96" s="14" t="s">
        <v>504</v>
      </c>
      <c r="C96" s="27" t="s">
        <v>482</v>
      </c>
    </row>
    <row r="97" spans="1:3" ht="15" x14ac:dyDescent="0.15">
      <c r="A97" s="26" t="s">
        <v>474</v>
      </c>
      <c r="B97" s="14" t="s">
        <v>507</v>
      </c>
      <c r="C97" s="27" t="s">
        <v>483</v>
      </c>
    </row>
    <row r="98" spans="1:3" ht="15" x14ac:dyDescent="0.15">
      <c r="A98" s="26" t="s">
        <v>475</v>
      </c>
      <c r="B98" s="14" t="s">
        <v>508</v>
      </c>
      <c r="C98" s="27" t="s">
        <v>484</v>
      </c>
    </row>
    <row r="99" spans="1:3" ht="15" x14ac:dyDescent="0.15">
      <c r="A99" s="26" t="s">
        <v>476</v>
      </c>
      <c r="B99" s="14" t="s">
        <v>509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12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opLeftCell="A18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4"/>
  <sheetViews>
    <sheetView tabSelected="1" topLeftCell="A79" workbookViewId="0">
      <selection activeCell="H108" sqref="H108"/>
    </sheetView>
  </sheetViews>
  <sheetFormatPr defaultRowHeight="13.5" x14ac:dyDescent="0.15"/>
  <cols>
    <col min="6" max="6" width="14.375" customWidth="1"/>
    <col min="7" max="7" width="9.5" customWidth="1"/>
    <col min="9" max="9" width="13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</row>
    <row r="4" spans="1:15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</f>
        <v>1.2</v>
      </c>
      <c r="N4" s="17">
        <f>J4*0.01</f>
        <v>0.6</v>
      </c>
      <c r="O4" s="10">
        <v>100</v>
      </c>
    </row>
    <row r="5" spans="1:15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N36" si="3">I5*0.01</f>
        <v>3.52</v>
      </c>
      <c r="N5" s="17">
        <f t="shared" si="3"/>
        <v>1.76</v>
      </c>
      <c r="O5" s="10">
        <v>100</v>
      </c>
    </row>
    <row r="6" spans="1:15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4">E5*1.005+7</f>
        <v>54.435999999999993</v>
      </c>
      <c r="F6" s="18">
        <v>2.5</v>
      </c>
      <c r="G6" s="19">
        <f t="shared" ref="G6:G69" si="5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6.072000000000001</v>
      </c>
      <c r="N6" s="17">
        <f t="shared" si="3"/>
        <v>3.0360000000000005</v>
      </c>
      <c r="O6" s="10">
        <v>100</v>
      </c>
    </row>
    <row r="7" spans="1:15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4"/>
        <v>61.708179999999984</v>
      </c>
      <c r="F7" s="18">
        <v>2.5</v>
      </c>
      <c r="G7" s="19">
        <f t="shared" si="5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8.8792000000000009</v>
      </c>
      <c r="N7" s="17">
        <f t="shared" si="3"/>
        <v>4.4396000000000004</v>
      </c>
      <c r="O7" s="10">
        <v>100</v>
      </c>
    </row>
    <row r="8" spans="1:15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4"/>
        <v>69.016720899999967</v>
      </c>
      <c r="F8" s="18">
        <v>2.5</v>
      </c>
      <c r="G8" s="19">
        <f t="shared" si="5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11.967120000000003</v>
      </c>
      <c r="N8" s="17">
        <f t="shared" si="3"/>
        <v>5.9835600000000015</v>
      </c>
      <c r="O8" s="10">
        <v>100</v>
      </c>
    </row>
    <row r="9" spans="1:15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4"/>
        <v>76.361804504499958</v>
      </c>
      <c r="F9" s="18">
        <v>2.5</v>
      </c>
      <c r="G9" s="19">
        <f t="shared" si="5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15.363832000000004</v>
      </c>
      <c r="N9" s="17">
        <f t="shared" si="3"/>
        <v>7.681916000000002</v>
      </c>
      <c r="O9" s="10">
        <v>100</v>
      </c>
    </row>
    <row r="10" spans="1:15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4"/>
        <v>83.743613527022447</v>
      </c>
      <c r="F10" s="18">
        <v>2.5</v>
      </c>
      <c r="G10" s="19">
        <f t="shared" si="5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19.100215200000008</v>
      </c>
      <c r="N10" s="17">
        <f t="shared" si="3"/>
        <v>9.550107600000004</v>
      </c>
      <c r="O10" s="10">
        <v>100</v>
      </c>
    </row>
    <row r="11" spans="1:15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4"/>
        <v>91.162331594657545</v>
      </c>
      <c r="F11" s="18">
        <v>2.5</v>
      </c>
      <c r="G11" s="19">
        <f t="shared" si="5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23.210236720000012</v>
      </c>
      <c r="N11" s="17">
        <f t="shared" si="3"/>
        <v>11.605118360000006</v>
      </c>
      <c r="O11" s="10">
        <v>100</v>
      </c>
    </row>
    <row r="12" spans="1:15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4"/>
        <v>98.618143252630816</v>
      </c>
      <c r="F12" s="18">
        <v>2.5</v>
      </c>
      <c r="G12" s="19">
        <f t="shared" si="5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27.731260392000014</v>
      </c>
      <c r="N12" s="17">
        <f t="shared" si="3"/>
        <v>13.865630196000007</v>
      </c>
      <c r="O12" s="10">
        <v>100</v>
      </c>
    </row>
    <row r="13" spans="1:15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4"/>
        <v>106.11123396889396</v>
      </c>
      <c r="F13" s="18">
        <v>2.5</v>
      </c>
      <c r="G13" s="19">
        <f t="shared" si="5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32.704386431200021</v>
      </c>
      <c r="N13" s="17">
        <f t="shared" si="3"/>
        <v>16.35219321560001</v>
      </c>
      <c r="O13" s="10">
        <v>100</v>
      </c>
    </row>
    <row r="14" spans="1:15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4"/>
        <v>113.64179013873841</v>
      </c>
      <c r="F14" s="18">
        <v>2.5</v>
      </c>
      <c r="G14" s="19">
        <f t="shared" si="5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38.174825074320026</v>
      </c>
      <c r="N14" s="17">
        <f t="shared" si="3"/>
        <v>19.087412537160013</v>
      </c>
      <c r="O14" s="10">
        <v>100</v>
      </c>
    </row>
    <row r="15" spans="1:15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4"/>
        <v>121.20999908943209</v>
      </c>
      <c r="F15" s="18">
        <v>2.5</v>
      </c>
      <c r="G15" s="19">
        <f t="shared" si="5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44.192307581752033</v>
      </c>
      <c r="N15" s="17">
        <f t="shared" si="3"/>
        <v>22.096153790876016</v>
      </c>
      <c r="O15" s="10">
        <v>100</v>
      </c>
    </row>
    <row r="16" spans="1:15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4"/>
        <v>128.81604908487924</v>
      </c>
      <c r="F16" s="18">
        <v>2.5</v>
      </c>
      <c r="G16" s="19">
        <f t="shared" si="5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50.811538339927239</v>
      </c>
      <c r="N16" s="17">
        <f t="shared" si="3"/>
        <v>25.405769169963619</v>
      </c>
      <c r="O16" s="10">
        <v>100</v>
      </c>
    </row>
    <row r="17" spans="1:15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4"/>
        <v>136.46012933030363</v>
      </c>
      <c r="F17" s="18">
        <v>2.5</v>
      </c>
      <c r="G17" s="19">
        <f t="shared" si="5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58.092692173919971</v>
      </c>
      <c r="N17" s="17">
        <f t="shared" si="3"/>
        <v>29.046346086959986</v>
      </c>
      <c r="O17" s="10">
        <v>100</v>
      </c>
    </row>
    <row r="18" spans="1:15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4"/>
        <v>144.14242997695513</v>
      </c>
      <c r="F18" s="18">
        <v>2.5</v>
      </c>
      <c r="G18" s="19">
        <f t="shared" si="5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66.101961391311974</v>
      </c>
      <c r="N18" s="17">
        <f t="shared" si="3"/>
        <v>33.050980695655987</v>
      </c>
      <c r="O18" s="10">
        <v>100</v>
      </c>
    </row>
    <row r="19" spans="1:15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4"/>
        <v>151.86314212683988</v>
      </c>
      <c r="F19" s="18">
        <v>2.5</v>
      </c>
      <c r="G19" s="19">
        <f t="shared" si="5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74.912157530443181</v>
      </c>
      <c r="N19" s="17">
        <f t="shared" si="3"/>
        <v>37.456078765221591</v>
      </c>
      <c r="O19" s="10">
        <v>100</v>
      </c>
    </row>
    <row r="20" spans="1:15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4"/>
        <v>159.62245783747406</v>
      </c>
      <c r="F20" s="18">
        <v>2.5</v>
      </c>
      <c r="G20" s="19">
        <f t="shared" si="5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84.603373283487485</v>
      </c>
      <c r="N20" s="17">
        <f t="shared" si="3"/>
        <v>42.301686641743743</v>
      </c>
      <c r="O20" s="10">
        <v>100</v>
      </c>
    </row>
    <row r="21" spans="1:15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4"/>
        <v>167.4205701266614</v>
      </c>
      <c r="F21" s="18">
        <v>2.5</v>
      </c>
      <c r="G21" s="19">
        <f t="shared" si="5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95.263710611836245</v>
      </c>
      <c r="N21" s="17">
        <f t="shared" si="3"/>
        <v>47.631855305918123</v>
      </c>
      <c r="O21" s="10">
        <v>100</v>
      </c>
    </row>
    <row r="22" spans="1:15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4"/>
        <v>175.2576729772947</v>
      </c>
      <c r="F22" s="18">
        <v>2.5</v>
      </c>
      <c r="G22" s="19">
        <f t="shared" si="5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106.99008167301989</v>
      </c>
      <c r="N22" s="17">
        <f t="shared" si="3"/>
        <v>53.495040836509943</v>
      </c>
      <c r="O22" s="10">
        <v>100</v>
      </c>
    </row>
    <row r="23" spans="1:15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4"/>
        <v>183.13396134218115</v>
      </c>
      <c r="F23" s="18">
        <v>2.5</v>
      </c>
      <c r="G23" s="19">
        <f t="shared" si="5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119.88908984032189</v>
      </c>
      <c r="N23" s="17">
        <f t="shared" si="3"/>
        <v>59.944544920160943</v>
      </c>
      <c r="O23" s="10">
        <v>100</v>
      </c>
    </row>
    <row r="24" spans="1:15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4"/>
        <v>191.04963114889205</v>
      </c>
      <c r="F24" s="18">
        <v>2.5</v>
      </c>
      <c r="G24" s="19">
        <f t="shared" si="5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134.0779988243541</v>
      </c>
      <c r="N24" s="17">
        <f t="shared" si="3"/>
        <v>67.038999412177048</v>
      </c>
      <c r="O24" s="10">
        <v>100</v>
      </c>
    </row>
    <row r="25" spans="1:15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4"/>
        <v>199.00487930463649</v>
      </c>
      <c r="F25" s="18">
        <v>2.5</v>
      </c>
      <c r="G25" s="19">
        <f t="shared" si="5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149.68579870678951</v>
      </c>
      <c r="N25" s="17">
        <f t="shared" si="3"/>
        <v>74.842899353394756</v>
      </c>
      <c r="O25" s="10">
        <v>100</v>
      </c>
    </row>
    <row r="26" spans="1:15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4"/>
        <v>206.99990370115964</v>
      </c>
      <c r="F26" s="18">
        <v>2.5</v>
      </c>
      <c r="G26" s="19">
        <f t="shared" si="5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166.85437857746848</v>
      </c>
      <c r="N26" s="17">
        <f t="shared" si="3"/>
        <v>83.42718928873424</v>
      </c>
      <c r="O26" s="10">
        <v>100</v>
      </c>
    </row>
    <row r="27" spans="1:15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4"/>
        <v>215.03490321966541</v>
      </c>
      <c r="F27" s="18">
        <v>2.5</v>
      </c>
      <c r="G27" s="19">
        <f t="shared" si="5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185.73981643521537</v>
      </c>
      <c r="N27" s="17">
        <f t="shared" si="3"/>
        <v>92.869908217607687</v>
      </c>
      <c r="O27" s="10">
        <v>100</v>
      </c>
    </row>
    <row r="28" spans="1:15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4"/>
        <v>223.11007773576372</v>
      </c>
      <c r="F28" s="18">
        <v>2.5</v>
      </c>
      <c r="G28" s="19">
        <f t="shared" si="5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206.51379807873693</v>
      </c>
      <c r="N28" s="17">
        <f t="shared" si="3"/>
        <v>103.25689903936846</v>
      </c>
      <c r="O28" s="10">
        <v>100</v>
      </c>
    </row>
    <row r="29" spans="1:15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4"/>
        <v>231.22562812444252</v>
      </c>
      <c r="F29" s="18">
        <v>2.5</v>
      </c>
      <c r="G29" s="19">
        <f t="shared" si="5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229.36517788661061</v>
      </c>
      <c r="N29" s="17">
        <f t="shared" si="3"/>
        <v>114.6825889433053</v>
      </c>
      <c r="O29" s="10">
        <v>100</v>
      </c>
    </row>
    <row r="30" spans="1:15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4"/>
        <v>239.38175626506472</v>
      </c>
      <c r="F30" s="18">
        <v>2.5</v>
      </c>
      <c r="G30" s="19">
        <f t="shared" si="5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254.50169567527169</v>
      </c>
      <c r="N30" s="17">
        <f t="shared" si="3"/>
        <v>127.25084783763585</v>
      </c>
      <c r="O30" s="10">
        <v>100</v>
      </c>
    </row>
    <row r="31" spans="1:15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4"/>
        <v>247.57866504639003</v>
      </c>
      <c r="F31" s="18">
        <v>2.5</v>
      </c>
      <c r="G31" s="19">
        <f t="shared" si="5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282.15186524279892</v>
      </c>
      <c r="N31" s="17">
        <f t="shared" si="3"/>
        <v>141.07593262139946</v>
      </c>
      <c r="O31" s="10">
        <v>100</v>
      </c>
    </row>
    <row r="32" spans="1:15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4"/>
        <v>255.81655837162197</v>
      </c>
      <c r="F32" s="18">
        <v>2.5</v>
      </c>
      <c r="G32" s="19">
        <f t="shared" si="5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312.56705176707879</v>
      </c>
      <c r="N32" s="17">
        <f t="shared" si="3"/>
        <v>156.2835258835394</v>
      </c>
      <c r="O32" s="10">
        <v>100</v>
      </c>
    </row>
    <row r="33" spans="1:15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4"/>
        <v>264.09564116348002</v>
      </c>
      <c r="F33" s="18">
        <v>2.5</v>
      </c>
      <c r="G33" s="19">
        <f t="shared" si="5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346.02375694378674</v>
      </c>
      <c r="N33" s="17">
        <f t="shared" si="3"/>
        <v>173.01187847189337</v>
      </c>
      <c r="O33" s="10">
        <v>100</v>
      </c>
    </row>
    <row r="34" spans="1:15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4"/>
        <v>272.41611936929741</v>
      </c>
      <c r="F34" s="18">
        <v>2.5</v>
      </c>
      <c r="G34" s="19">
        <f t="shared" si="5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382.82613263816546</v>
      </c>
      <c r="N34" s="17">
        <f t="shared" si="3"/>
        <v>191.41306631908273</v>
      </c>
      <c r="O34" s="10">
        <v>100</v>
      </c>
    </row>
    <row r="35" spans="1:15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4"/>
        <v>280.77819996614386</v>
      </c>
      <c r="F35" s="18">
        <v>2.5</v>
      </c>
      <c r="G35" s="19">
        <f t="shared" si="5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423.30874590198204</v>
      </c>
      <c r="N35" s="17">
        <f t="shared" si="3"/>
        <v>211.65437295099102</v>
      </c>
      <c r="O35" s="10">
        <v>100</v>
      </c>
    </row>
    <row r="36" spans="1:15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4"/>
        <v>289.18209096597457</v>
      </c>
      <c r="F36" s="18">
        <v>2.5</v>
      </c>
      <c r="G36" s="19">
        <f t="shared" si="5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467.83962049218025</v>
      </c>
      <c r="N36" s="17">
        <f t="shared" si="3"/>
        <v>233.91981024609012</v>
      </c>
      <c r="O36" s="10">
        <v>100</v>
      </c>
    </row>
    <row r="37" spans="1:15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4"/>
        <v>297.62800142080442</v>
      </c>
      <c r="F37" s="18">
        <v>2.5</v>
      </c>
      <c r="G37" s="19">
        <f t="shared" si="5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ref="M37:N68" si="6">I37*0.01</f>
        <v>516.82358254139831</v>
      </c>
      <c r="N37" s="17">
        <f t="shared" si="6"/>
        <v>258.41179127069915</v>
      </c>
      <c r="O37" s="10">
        <v>100</v>
      </c>
    </row>
    <row r="38" spans="1:15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4"/>
        <v>306.11614142790842</v>
      </c>
      <c r="F38" s="18">
        <v>2.5</v>
      </c>
      <c r="G38" s="19">
        <f t="shared" si="5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6"/>
        <v>570.70594079553825</v>
      </c>
      <c r="N38" s="17">
        <f t="shared" si="6"/>
        <v>285.35297039776913</v>
      </c>
      <c r="O38" s="10">
        <v>100</v>
      </c>
    </row>
    <row r="39" spans="1:15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4"/>
        <v>314.64672213504792</v>
      </c>
      <c r="F39" s="18">
        <v>2.5</v>
      </c>
      <c r="G39" s="19">
        <f t="shared" si="5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6"/>
        <v>629.97653487509217</v>
      </c>
      <c r="N39" s="17">
        <f t="shared" si="6"/>
        <v>314.98826743754609</v>
      </c>
      <c r="O39" s="10">
        <v>100</v>
      </c>
    </row>
    <row r="40" spans="1:15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4"/>
        <v>323.21995574572315</v>
      </c>
      <c r="F40" s="18">
        <v>2.5</v>
      </c>
      <c r="G40" s="19">
        <f t="shared" si="5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6"/>
        <v>695.1741883626014</v>
      </c>
      <c r="N40" s="17">
        <f t="shared" si="6"/>
        <v>347.5870941813007</v>
      </c>
      <c r="O40" s="10">
        <v>100</v>
      </c>
    </row>
    <row r="41" spans="1:15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4"/>
        <v>331.83605552445175</v>
      </c>
      <c r="F41" s="18">
        <v>2.5</v>
      </c>
      <c r="G41" s="19">
        <f t="shared" si="5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6"/>
        <v>766.89160719886161</v>
      </c>
      <c r="N41" s="17">
        <f t="shared" si="6"/>
        <v>383.4458035994308</v>
      </c>
      <c r="O41" s="10">
        <v>100</v>
      </c>
    </row>
    <row r="42" spans="1:15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4"/>
        <v>340.49523580207398</v>
      </c>
      <c r="F42" s="18">
        <v>2.5</v>
      </c>
      <c r="G42" s="19">
        <f t="shared" si="5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6"/>
        <v>845.78076791874787</v>
      </c>
      <c r="N42" s="17">
        <f t="shared" si="6"/>
        <v>422.89038395937393</v>
      </c>
      <c r="O42" s="10">
        <v>100</v>
      </c>
    </row>
    <row r="43" spans="1:15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4"/>
        <v>349.1977119810843</v>
      </c>
      <c r="F43" s="18">
        <v>2.5</v>
      </c>
      <c r="G43" s="19">
        <f t="shared" si="5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6"/>
        <v>932.55884471062279</v>
      </c>
      <c r="N43" s="17">
        <f t="shared" si="6"/>
        <v>466.2794223553114</v>
      </c>
      <c r="O43" s="10">
        <v>100</v>
      </c>
    </row>
    <row r="44" spans="1:15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4"/>
        <v>357.94370054098965</v>
      </c>
      <c r="F44" s="18">
        <v>2.5</v>
      </c>
      <c r="G44" s="19">
        <f t="shared" si="5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6"/>
        <v>1028.0147291816852</v>
      </c>
      <c r="N44" s="17">
        <f t="shared" si="6"/>
        <v>514.0073645908426</v>
      </c>
      <c r="O44" s="10">
        <v>100</v>
      </c>
    </row>
    <row r="45" spans="1:15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4"/>
        <v>366.73341904369454</v>
      </c>
      <c r="F45" s="18">
        <v>2.5</v>
      </c>
      <c r="G45" s="19">
        <f t="shared" si="5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6"/>
        <v>1133.0162020998537</v>
      </c>
      <c r="N45" s="17">
        <f t="shared" si="6"/>
        <v>566.50810104992684</v>
      </c>
      <c r="O45" s="10">
        <v>100</v>
      </c>
    </row>
    <row r="46" spans="1:15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4"/>
        <v>375.567086138913</v>
      </c>
      <c r="F46" s="18">
        <v>2.5</v>
      </c>
      <c r="G46" s="19">
        <f t="shared" si="5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6"/>
        <v>1248.5178223098392</v>
      </c>
      <c r="N46" s="17">
        <f t="shared" si="6"/>
        <v>624.25891115491959</v>
      </c>
      <c r="O46" s="10">
        <v>100</v>
      </c>
    </row>
    <row r="47" spans="1:15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4"/>
        <v>384.44492156960752</v>
      </c>
      <c r="F47" s="18">
        <v>2.5</v>
      </c>
      <c r="G47" s="19">
        <f t="shared" si="5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6"/>
        <v>1375.5696045408233</v>
      </c>
      <c r="N47" s="17">
        <f t="shared" si="6"/>
        <v>687.78480227041166</v>
      </c>
      <c r="O47" s="10">
        <v>100</v>
      </c>
    </row>
    <row r="48" spans="1:15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4"/>
        <v>393.36714617745554</v>
      </c>
      <c r="F48" s="18">
        <v>2.5</v>
      </c>
      <c r="G48" s="19">
        <f t="shared" si="5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6"/>
        <v>1515.3265649949058</v>
      </c>
      <c r="N48" s="17">
        <f t="shared" si="6"/>
        <v>757.66328249745288</v>
      </c>
      <c r="O48" s="10">
        <v>100</v>
      </c>
    </row>
    <row r="49" spans="1:15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4"/>
        <v>402.33398190834276</v>
      </c>
      <c r="F49" s="18">
        <v>2.5</v>
      </c>
      <c r="G49" s="19">
        <f t="shared" si="5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6"/>
        <v>1669.0592214943968</v>
      </c>
      <c r="N49" s="17">
        <f t="shared" si="6"/>
        <v>834.52961074719838</v>
      </c>
      <c r="O49" s="10">
        <v>100</v>
      </c>
    </row>
    <row r="50" spans="1:15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4"/>
        <v>411.34565181788446</v>
      </c>
      <c r="F50" s="18">
        <v>2.5</v>
      </c>
      <c r="G50" s="19">
        <f t="shared" si="5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6"/>
        <v>1838.1651436438365</v>
      </c>
      <c r="N50" s="17">
        <f t="shared" si="6"/>
        <v>919.08257182191824</v>
      </c>
      <c r="O50" s="10">
        <v>100</v>
      </c>
    </row>
    <row r="51" spans="1:15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4"/>
        <v>420.40238007697383</v>
      </c>
      <c r="F51" s="18">
        <v>2.5</v>
      </c>
      <c r="G51" s="19">
        <f t="shared" si="5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6"/>
        <v>2024.1816580082202</v>
      </c>
      <c r="N51" s="17">
        <f t="shared" si="6"/>
        <v>1012.0908290041101</v>
      </c>
      <c r="O51" s="10">
        <v>100</v>
      </c>
    </row>
    <row r="52" spans="1:15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4"/>
        <v>429.50439197735864</v>
      </c>
      <c r="F52" s="18">
        <v>2.5</v>
      </c>
      <c r="G52" s="19">
        <f t="shared" si="5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6"/>
        <v>2228.7998238090427</v>
      </c>
      <c r="N52" s="17">
        <f t="shared" si="6"/>
        <v>1114.3999119045213</v>
      </c>
      <c r="O52" s="10">
        <v>100</v>
      </c>
    </row>
    <row r="53" spans="1:15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4"/>
        <v>438.65191393724541</v>
      </c>
      <c r="F53" s="18">
        <v>2.5</v>
      </c>
      <c r="G53" s="19">
        <f t="shared" si="5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6"/>
        <v>2453.879806189947</v>
      </c>
      <c r="N53" s="17">
        <f t="shared" si="6"/>
        <v>1226.9399030949735</v>
      </c>
      <c r="O53" s="10">
        <v>100</v>
      </c>
    </row>
    <row r="54" spans="1:15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4"/>
        <v>447.84517350693159</v>
      </c>
      <c r="F54" s="18">
        <v>2.5</v>
      </c>
      <c r="G54" s="19">
        <f t="shared" si="5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6"/>
        <v>2701.4677868089425</v>
      </c>
      <c r="N54" s="17">
        <f t="shared" si="6"/>
        <v>1350.7338934044712</v>
      </c>
      <c r="O54" s="10">
        <v>100</v>
      </c>
    </row>
    <row r="55" spans="1:15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4"/>
        <v>457.08439937446622</v>
      </c>
      <c r="F55" s="18">
        <v>2.5</v>
      </c>
      <c r="G55" s="19">
        <f t="shared" si="5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6"/>
        <v>2973.8145654898372</v>
      </c>
      <c r="N55" s="17">
        <f t="shared" si="6"/>
        <v>1486.9072827449186</v>
      </c>
      <c r="O55" s="10">
        <v>100</v>
      </c>
    </row>
    <row r="56" spans="1:15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4"/>
        <v>466.3698213713385</v>
      </c>
      <c r="F56" s="18">
        <v>2.5</v>
      </c>
      <c r="G56" s="19">
        <f t="shared" si="5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6"/>
        <v>3273.3960220388208</v>
      </c>
      <c r="N56" s="17">
        <f t="shared" si="6"/>
        <v>1636.6980110194104</v>
      </c>
      <c r="O56" s="10">
        <v>100</v>
      </c>
    </row>
    <row r="57" spans="1:15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4"/>
        <v>475.70167047819513</v>
      </c>
      <c r="F57" s="18">
        <v>2.5</v>
      </c>
      <c r="G57" s="19">
        <f t="shared" si="5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6"/>
        <v>3602.9356242427034</v>
      </c>
      <c r="N57" s="17">
        <f t="shared" si="6"/>
        <v>1801.4678121213517</v>
      </c>
      <c r="O57" s="10">
        <v>100</v>
      </c>
    </row>
    <row r="58" spans="1:15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4"/>
        <v>485.08017883058608</v>
      </c>
      <c r="F58" s="18">
        <v>2.5</v>
      </c>
      <c r="G58" s="19">
        <f t="shared" si="5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6"/>
        <v>3965.4291866669741</v>
      </c>
      <c r="N58" s="17">
        <f t="shared" si="6"/>
        <v>1982.7145933334871</v>
      </c>
      <c r="O58" s="10">
        <v>100</v>
      </c>
    </row>
    <row r="59" spans="1:15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4"/>
        <v>494.50557972473894</v>
      </c>
      <c r="F59" s="18">
        <v>2.5</v>
      </c>
      <c r="G59" s="19">
        <f t="shared" si="5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6"/>
        <v>4364.1721053336714</v>
      </c>
      <c r="N59" s="17">
        <f t="shared" si="6"/>
        <v>2182.0860526668357</v>
      </c>
      <c r="O59" s="10">
        <v>100</v>
      </c>
    </row>
    <row r="60" spans="1:15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4"/>
        <v>503.97810762336258</v>
      </c>
      <c r="F60" s="18">
        <v>2.5</v>
      </c>
      <c r="G60" s="19">
        <f t="shared" si="5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6"/>
        <v>4802.7893158670395</v>
      </c>
      <c r="N60" s="17">
        <f t="shared" si="6"/>
        <v>2401.3946579335197</v>
      </c>
      <c r="O60" s="10">
        <v>100</v>
      </c>
    </row>
    <row r="61" spans="1:15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4"/>
        <v>513.49799816147936</v>
      </c>
      <c r="F61" s="18">
        <v>2.5</v>
      </c>
      <c r="G61" s="19">
        <f t="shared" si="5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6"/>
        <v>5285.2682474537442</v>
      </c>
      <c r="N61" s="17">
        <f t="shared" si="6"/>
        <v>2642.6341237268721</v>
      </c>
      <c r="O61" s="10">
        <v>100</v>
      </c>
    </row>
    <row r="62" spans="1:15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4"/>
        <v>523.06548815228666</v>
      </c>
      <c r="F62" s="18">
        <v>2.5</v>
      </c>
      <c r="G62" s="19">
        <f t="shared" si="5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6"/>
        <v>5815.995072199119</v>
      </c>
      <c r="N62" s="17">
        <f t="shared" si="6"/>
        <v>2907.9975360995595</v>
      </c>
      <c r="O62" s="10">
        <v>100</v>
      </c>
    </row>
    <row r="63" spans="1:15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4"/>
        <v>532.68081559304801</v>
      </c>
      <c r="F63" s="18">
        <v>2.5</v>
      </c>
      <c r="G63" s="19">
        <f t="shared" si="5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6"/>
        <v>6399.7945794190318</v>
      </c>
      <c r="N63" s="17">
        <f t="shared" si="6"/>
        <v>3199.8972897095159</v>
      </c>
      <c r="O63" s="10">
        <v>100</v>
      </c>
    </row>
    <row r="64" spans="1:15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4"/>
        <v>542.34421967101321</v>
      </c>
      <c r="F64" s="18">
        <v>2.5</v>
      </c>
      <c r="G64" s="19">
        <f t="shared" si="5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6"/>
        <v>7041.9740373609357</v>
      </c>
      <c r="N64" s="17">
        <f t="shared" si="6"/>
        <v>3520.9870186804678</v>
      </c>
      <c r="O64" s="10">
        <v>100</v>
      </c>
    </row>
    <row r="65" spans="1:15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4"/>
        <v>552.05594076936825</v>
      </c>
      <c r="F65" s="18">
        <v>2.5</v>
      </c>
      <c r="G65" s="19">
        <f t="shared" si="5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6"/>
        <v>7748.3714410970306</v>
      </c>
      <c r="N65" s="17">
        <f t="shared" si="6"/>
        <v>3874.1857205485153</v>
      </c>
      <c r="O65" s="10">
        <v>100</v>
      </c>
    </row>
    <row r="66" spans="1:15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4"/>
        <v>561.81622047321503</v>
      </c>
      <c r="F66" s="18">
        <v>2.5</v>
      </c>
      <c r="G66" s="19">
        <f t="shared" si="5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6"/>
        <v>8525.4085852067328</v>
      </c>
      <c r="N66" s="17">
        <f t="shared" si="6"/>
        <v>4262.7042926033664</v>
      </c>
      <c r="O66" s="10">
        <v>100</v>
      </c>
    </row>
    <row r="67" spans="1:15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4"/>
        <v>571.62530157558103</v>
      </c>
      <c r="F67" s="18">
        <v>2.5</v>
      </c>
      <c r="G67" s="19">
        <f t="shared" si="5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6"/>
        <v>9380.1494437274087</v>
      </c>
      <c r="N67" s="17">
        <f t="shared" si="6"/>
        <v>4690.0747218637043</v>
      </c>
      <c r="O67" s="10">
        <v>100</v>
      </c>
    </row>
    <row r="68" spans="1:15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4"/>
        <v>581.48342808345888</v>
      </c>
      <c r="F68" s="18">
        <v>2.5</v>
      </c>
      <c r="G68" s="19">
        <f t="shared" si="5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6"/>
        <v>10320.36438810015</v>
      </c>
      <c r="N68" s="17">
        <f t="shared" si="6"/>
        <v>5160.1821940500749</v>
      </c>
      <c r="O68" s="10">
        <v>100</v>
      </c>
    </row>
    <row r="69" spans="1:15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4"/>
        <v>591.39084522387611</v>
      </c>
      <c r="F69" s="18">
        <v>2.5</v>
      </c>
      <c r="G69" s="19">
        <f t="shared" si="5"/>
        <v>64117.565014018568</v>
      </c>
      <c r="H69" s="19">
        <f t="shared" ref="H69:H103" si="7">(H68+1)*1.05</f>
        <v>479.63791174276423</v>
      </c>
      <c r="I69" s="19">
        <f t="shared" ref="I69:I103" si="8">(I68+200)*1.1</f>
        <v>1135460.0826910166</v>
      </c>
      <c r="J69" s="17">
        <f t="shared" ref="J69:J103" si="9">I69/2</f>
        <v>567730.0413455083</v>
      </c>
      <c r="K69" s="17">
        <v>325</v>
      </c>
      <c r="L69" s="17">
        <v>1.5</v>
      </c>
      <c r="M69" s="17">
        <f t="shared" ref="M69:N103" si="10">I69*0.01</f>
        <v>11354.600826910166</v>
      </c>
      <c r="N69" s="17">
        <f t="shared" si="10"/>
        <v>5677.3004134550829</v>
      </c>
      <c r="O69" s="10">
        <v>100</v>
      </c>
    </row>
    <row r="70" spans="1:15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1">E69*1.005+7</f>
        <v>601.34779944999548</v>
      </c>
      <c r="F70" s="18">
        <v>2.5</v>
      </c>
      <c r="G70" s="19">
        <f t="shared" ref="G70:G103" si="12">(G69+11)*1.1</f>
        <v>70541.421515420428</v>
      </c>
      <c r="H70" s="19">
        <f t="shared" si="7"/>
        <v>504.66980732990248</v>
      </c>
      <c r="I70" s="19">
        <f t="shared" si="8"/>
        <v>1249226.0909601185</v>
      </c>
      <c r="J70" s="17">
        <f t="shared" si="9"/>
        <v>624613.04548005923</v>
      </c>
      <c r="K70" s="17">
        <v>325</v>
      </c>
      <c r="L70" s="17">
        <v>1.5</v>
      </c>
      <c r="M70" s="17">
        <f t="shared" si="10"/>
        <v>12492.260909601186</v>
      </c>
      <c r="N70" s="17">
        <f t="shared" si="10"/>
        <v>6246.1304548005928</v>
      </c>
      <c r="O70" s="10">
        <v>100</v>
      </c>
    </row>
    <row r="71" spans="1:15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1"/>
        <v>611.35453844724543</v>
      </c>
      <c r="F71" s="18">
        <v>2.5</v>
      </c>
      <c r="G71" s="19">
        <f t="shared" si="12"/>
        <v>77607.663666962471</v>
      </c>
      <c r="H71" s="19">
        <f t="shared" si="7"/>
        <v>530.95329769639761</v>
      </c>
      <c r="I71" s="19">
        <f t="shared" si="8"/>
        <v>1374368.7000561303</v>
      </c>
      <c r="J71" s="17">
        <f t="shared" si="9"/>
        <v>687184.35002806515</v>
      </c>
      <c r="K71" s="17">
        <v>325</v>
      </c>
      <c r="L71" s="17">
        <v>1.5</v>
      </c>
      <c r="M71" s="17">
        <f t="shared" si="10"/>
        <v>13743.687000561304</v>
      </c>
      <c r="N71" s="17">
        <f t="shared" si="10"/>
        <v>6871.8435002806518</v>
      </c>
      <c r="O71" s="10">
        <v>100</v>
      </c>
    </row>
    <row r="72" spans="1:15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1"/>
        <v>621.41131113948154</v>
      </c>
      <c r="F72" s="18">
        <v>2.5</v>
      </c>
      <c r="G72" s="19">
        <f t="shared" si="12"/>
        <v>85380.530033658724</v>
      </c>
      <c r="H72" s="19">
        <f t="shared" si="7"/>
        <v>558.5509625812175</v>
      </c>
      <c r="I72" s="19">
        <f t="shared" si="8"/>
        <v>1512025.5700617435</v>
      </c>
      <c r="J72" s="17">
        <f t="shared" si="9"/>
        <v>756012.78503087175</v>
      </c>
      <c r="K72" s="17">
        <v>325</v>
      </c>
      <c r="L72" s="17">
        <v>1.5</v>
      </c>
      <c r="M72" s="17">
        <f t="shared" si="10"/>
        <v>15120.255700617436</v>
      </c>
      <c r="N72" s="17">
        <f t="shared" si="10"/>
        <v>7560.1278503087178</v>
      </c>
      <c r="O72" s="10">
        <v>100</v>
      </c>
    </row>
    <row r="73" spans="1:15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1"/>
        <v>631.51836769517888</v>
      </c>
      <c r="F73" s="18">
        <v>2.5</v>
      </c>
      <c r="G73" s="19">
        <f t="shared" si="12"/>
        <v>93930.683037024603</v>
      </c>
      <c r="H73" s="19">
        <f t="shared" si="7"/>
        <v>587.5285107102784</v>
      </c>
      <c r="I73" s="19">
        <f t="shared" si="8"/>
        <v>1663448.127067918</v>
      </c>
      <c r="J73" s="17">
        <f t="shared" si="9"/>
        <v>831724.06353395898</v>
      </c>
      <c r="K73" s="17">
        <v>325</v>
      </c>
      <c r="L73" s="17">
        <v>1.5</v>
      </c>
      <c r="M73" s="17">
        <f t="shared" si="10"/>
        <v>16634.481270679178</v>
      </c>
      <c r="N73" s="17">
        <f t="shared" si="10"/>
        <v>8317.2406353395891</v>
      </c>
      <c r="O73" s="10">
        <v>100</v>
      </c>
    </row>
    <row r="74" spans="1:15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1"/>
        <v>641.67595953365469</v>
      </c>
      <c r="F74" s="18">
        <v>2.5</v>
      </c>
      <c r="G74" s="19">
        <f t="shared" si="12"/>
        <v>103335.85134072707</v>
      </c>
      <c r="H74" s="19">
        <f t="shared" si="7"/>
        <v>617.9549362457924</v>
      </c>
      <c r="I74" s="19">
        <f t="shared" si="8"/>
        <v>1830012.93977471</v>
      </c>
      <c r="J74" s="17">
        <f t="shared" si="9"/>
        <v>915006.46988735499</v>
      </c>
      <c r="K74" s="17">
        <v>325</v>
      </c>
      <c r="L74" s="17">
        <v>1.5</v>
      </c>
      <c r="M74" s="17">
        <f t="shared" si="10"/>
        <v>18300.1293977471</v>
      </c>
      <c r="N74" s="17">
        <f t="shared" si="10"/>
        <v>9150.0646988735498</v>
      </c>
      <c r="O74" s="10">
        <v>100</v>
      </c>
    </row>
    <row r="75" spans="1:15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1"/>
        <v>651.88433933132285</v>
      </c>
      <c r="F75" s="18">
        <v>2.5</v>
      </c>
      <c r="G75" s="19">
        <f t="shared" si="12"/>
        <v>113681.53647479978</v>
      </c>
      <c r="H75" s="19">
        <f t="shared" si="7"/>
        <v>649.90268305808206</v>
      </c>
      <c r="I75" s="19">
        <f t="shared" si="8"/>
        <v>2013234.2337521811</v>
      </c>
      <c r="J75" s="17">
        <f t="shared" si="9"/>
        <v>1006617.1168760905</v>
      </c>
      <c r="K75" s="17">
        <v>325</v>
      </c>
      <c r="L75" s="17">
        <v>1.5</v>
      </c>
      <c r="M75" s="17">
        <f t="shared" si="10"/>
        <v>20132.342337521812</v>
      </c>
      <c r="N75" s="17">
        <f t="shared" si="10"/>
        <v>10066.171168760906</v>
      </c>
      <c r="O75" s="10">
        <v>100</v>
      </c>
    </row>
    <row r="76" spans="1:15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1"/>
        <v>662.14376102797939</v>
      </c>
      <c r="F76" s="18">
        <v>2.5</v>
      </c>
      <c r="G76" s="19">
        <f t="shared" si="12"/>
        <v>125061.79012227977</v>
      </c>
      <c r="H76" s="19">
        <f t="shared" si="7"/>
        <v>683.44781721098616</v>
      </c>
      <c r="I76" s="19">
        <f t="shared" si="8"/>
        <v>2214777.6571273995</v>
      </c>
      <c r="J76" s="17">
        <f t="shared" si="9"/>
        <v>1107388.8285636997</v>
      </c>
      <c r="K76" s="17">
        <v>325</v>
      </c>
      <c r="L76" s="17">
        <v>1.5</v>
      </c>
      <c r="M76" s="17">
        <f t="shared" si="10"/>
        <v>22147.776571273997</v>
      </c>
      <c r="N76" s="17">
        <f t="shared" si="10"/>
        <v>11073.888285636998</v>
      </c>
      <c r="O76" s="10">
        <v>100</v>
      </c>
    </row>
    <row r="77" spans="1:15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1"/>
        <v>672.45447983311919</v>
      </c>
      <c r="F77" s="18">
        <v>2.5</v>
      </c>
      <c r="G77" s="19">
        <f t="shared" si="12"/>
        <v>137580.06913450776</v>
      </c>
      <c r="H77" s="19">
        <f t="shared" si="7"/>
        <v>718.67020807153551</v>
      </c>
      <c r="I77" s="19">
        <f t="shared" si="8"/>
        <v>2436475.4228401398</v>
      </c>
      <c r="J77" s="17">
        <f t="shared" si="9"/>
        <v>1218237.7114200699</v>
      </c>
      <c r="K77" s="17">
        <v>325</v>
      </c>
      <c r="L77" s="17">
        <v>1.5</v>
      </c>
      <c r="M77" s="17">
        <f t="shared" si="10"/>
        <v>24364.754228401398</v>
      </c>
      <c r="N77" s="17">
        <f t="shared" si="10"/>
        <v>12182.377114200699</v>
      </c>
      <c r="O77" s="10">
        <v>100</v>
      </c>
    </row>
    <row r="78" spans="1:15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1"/>
        <v>682.81675223228467</v>
      </c>
      <c r="F78" s="18">
        <v>2.5</v>
      </c>
      <c r="G78" s="19">
        <f t="shared" si="12"/>
        <v>151350.17604795855</v>
      </c>
      <c r="H78" s="19">
        <f t="shared" si="7"/>
        <v>755.65371847511233</v>
      </c>
      <c r="I78" s="19">
        <f t="shared" si="8"/>
        <v>2680342.965124154</v>
      </c>
      <c r="J78" s="17">
        <f t="shared" si="9"/>
        <v>1340171.482562077</v>
      </c>
      <c r="K78" s="17">
        <v>325</v>
      </c>
      <c r="L78" s="17">
        <v>1.5</v>
      </c>
      <c r="M78" s="17">
        <f t="shared" si="10"/>
        <v>26803.429651241542</v>
      </c>
      <c r="N78" s="17">
        <f t="shared" si="10"/>
        <v>13401.714825620771</v>
      </c>
      <c r="O78" s="10">
        <v>100</v>
      </c>
    </row>
    <row r="79" spans="1:15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1"/>
        <v>693.23083599344602</v>
      </c>
      <c r="F79" s="18">
        <v>2.5</v>
      </c>
      <c r="G79" s="19">
        <f t="shared" si="12"/>
        <v>166497.29365275442</v>
      </c>
      <c r="H79" s="19">
        <f t="shared" si="7"/>
        <v>794.48640439886799</v>
      </c>
      <c r="I79" s="19">
        <f t="shared" si="8"/>
        <v>2948597.2616365696</v>
      </c>
      <c r="J79" s="17">
        <f t="shared" si="9"/>
        <v>1474298.6308182848</v>
      </c>
      <c r="K79" s="17">
        <v>325</v>
      </c>
      <c r="L79" s="17">
        <v>1.5</v>
      </c>
      <c r="M79" s="17">
        <f t="shared" si="10"/>
        <v>29485.972616365696</v>
      </c>
      <c r="N79" s="17">
        <f t="shared" si="10"/>
        <v>14742.986308182848</v>
      </c>
      <c r="O79" s="10">
        <v>100</v>
      </c>
    </row>
    <row r="80" spans="1:15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1"/>
        <v>703.69699017341316</v>
      </c>
      <c r="F80" s="18">
        <v>2.5</v>
      </c>
      <c r="G80" s="19">
        <f t="shared" si="12"/>
        <v>183159.12301802987</v>
      </c>
      <c r="H80" s="19">
        <f t="shared" si="7"/>
        <v>835.26072461881142</v>
      </c>
      <c r="I80" s="19">
        <f t="shared" si="8"/>
        <v>3243676.987800227</v>
      </c>
      <c r="J80" s="17">
        <f t="shared" si="9"/>
        <v>1621838.4939001135</v>
      </c>
      <c r="K80" s="17">
        <v>325</v>
      </c>
      <c r="L80" s="17">
        <v>1.5</v>
      </c>
      <c r="M80" s="17">
        <f t="shared" si="10"/>
        <v>32436.769878002269</v>
      </c>
      <c r="N80" s="17">
        <f t="shared" si="10"/>
        <v>16218.384939001135</v>
      </c>
      <c r="O80" s="10">
        <v>100</v>
      </c>
    </row>
    <row r="81" spans="1:15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1"/>
        <v>714.21547512428015</v>
      </c>
      <c r="F81" s="18">
        <v>2.5</v>
      </c>
      <c r="G81" s="19">
        <f t="shared" si="12"/>
        <v>201487.13531983289</v>
      </c>
      <c r="H81" s="19">
        <f t="shared" si="7"/>
        <v>878.07376084975203</v>
      </c>
      <c r="I81" s="19">
        <f t="shared" si="8"/>
        <v>3568264.68658025</v>
      </c>
      <c r="J81" s="17">
        <f t="shared" si="9"/>
        <v>1784132.343290125</v>
      </c>
      <c r="K81" s="17">
        <v>325</v>
      </c>
      <c r="L81" s="17">
        <v>1.5</v>
      </c>
      <c r="M81" s="17">
        <f t="shared" si="10"/>
        <v>35682.646865802504</v>
      </c>
      <c r="N81" s="17">
        <f t="shared" si="10"/>
        <v>17841.323432901252</v>
      </c>
      <c r="O81" s="10">
        <v>100</v>
      </c>
    </row>
    <row r="82" spans="1:15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1"/>
        <v>724.78655249990152</v>
      </c>
      <c r="F82" s="18">
        <v>2.5</v>
      </c>
      <c r="G82" s="19">
        <f t="shared" si="12"/>
        <v>221647.94885181618</v>
      </c>
      <c r="H82" s="19">
        <f t="shared" si="7"/>
        <v>923.0274488922397</v>
      </c>
      <c r="I82" s="19">
        <f t="shared" si="8"/>
        <v>3925311.1552382754</v>
      </c>
      <c r="J82" s="17">
        <f t="shared" si="9"/>
        <v>1962655.5776191377</v>
      </c>
      <c r="K82" s="17">
        <v>325</v>
      </c>
      <c r="L82" s="17">
        <v>1.5</v>
      </c>
      <c r="M82" s="17">
        <f t="shared" si="10"/>
        <v>39253.111552382754</v>
      </c>
      <c r="N82" s="17">
        <f t="shared" si="10"/>
        <v>19626.555776191377</v>
      </c>
      <c r="O82" s="10">
        <v>100</v>
      </c>
    </row>
    <row r="83" spans="1:15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1"/>
        <v>735.41048526240093</v>
      </c>
      <c r="F83" s="18">
        <v>2.5</v>
      </c>
      <c r="G83" s="19">
        <f t="shared" si="12"/>
        <v>243824.84373699781</v>
      </c>
      <c r="H83" s="19">
        <f t="shared" si="7"/>
        <v>970.22882133685175</v>
      </c>
      <c r="I83" s="19">
        <f t="shared" si="8"/>
        <v>4318062.2707621036</v>
      </c>
      <c r="J83" s="17">
        <f t="shared" si="9"/>
        <v>2159031.1353810518</v>
      </c>
      <c r="K83" s="17">
        <v>325</v>
      </c>
      <c r="L83" s="17">
        <v>1.5</v>
      </c>
      <c r="M83" s="17">
        <f t="shared" si="10"/>
        <v>43180.622707621034</v>
      </c>
      <c r="N83" s="17">
        <f t="shared" si="10"/>
        <v>21590.311353810517</v>
      </c>
      <c r="O83" s="10">
        <v>100</v>
      </c>
    </row>
    <row r="84" spans="1:15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1"/>
        <v>746.08753768871281</v>
      </c>
      <c r="F84" s="18">
        <v>2.5</v>
      </c>
      <c r="G84" s="19">
        <f t="shared" si="12"/>
        <v>268219.4281106976</v>
      </c>
      <c r="H84" s="19">
        <f t="shared" si="7"/>
        <v>1019.7902624036943</v>
      </c>
      <c r="I84" s="19">
        <f t="shared" si="8"/>
        <v>4750088.4978383146</v>
      </c>
      <c r="J84" s="17">
        <f t="shared" si="9"/>
        <v>2375044.2489191573</v>
      </c>
      <c r="K84" s="17">
        <v>325</v>
      </c>
      <c r="L84" s="17">
        <v>1.5</v>
      </c>
      <c r="M84" s="17">
        <f t="shared" si="10"/>
        <v>47500.884978383147</v>
      </c>
      <c r="N84" s="17">
        <f t="shared" si="10"/>
        <v>23750.442489191573</v>
      </c>
      <c r="O84" s="10">
        <v>100</v>
      </c>
    </row>
    <row r="85" spans="1:15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1"/>
        <v>756.81797537715624</v>
      </c>
      <c r="F85" s="18">
        <v>2.5</v>
      </c>
      <c r="G85" s="19">
        <f t="shared" si="12"/>
        <v>295053.47092176741</v>
      </c>
      <c r="H85" s="19">
        <f t="shared" si="7"/>
        <v>1071.8297755238791</v>
      </c>
      <c r="I85" s="19">
        <f t="shared" si="8"/>
        <v>5225317.3476221468</v>
      </c>
      <c r="J85" s="17">
        <f t="shared" si="9"/>
        <v>2612658.6738110734</v>
      </c>
      <c r="K85" s="17">
        <v>325</v>
      </c>
      <c r="L85" s="17">
        <v>1.5</v>
      </c>
      <c r="M85" s="17">
        <f t="shared" si="10"/>
        <v>52253.173476221469</v>
      </c>
      <c r="N85" s="17">
        <f t="shared" si="10"/>
        <v>26126.586738110735</v>
      </c>
      <c r="O85" s="10">
        <v>100</v>
      </c>
    </row>
    <row r="86" spans="1:15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1"/>
        <v>767.60206525404192</v>
      </c>
      <c r="F86" s="18">
        <v>2.5</v>
      </c>
      <c r="G86" s="19">
        <f t="shared" si="12"/>
        <v>324570.91801394417</v>
      </c>
      <c r="H86" s="19">
        <f t="shared" si="7"/>
        <v>1126.471264300073</v>
      </c>
      <c r="I86" s="19">
        <f t="shared" si="8"/>
        <v>5748069.0823843619</v>
      </c>
      <c r="J86" s="17">
        <f t="shared" si="9"/>
        <v>2874034.5411921809</v>
      </c>
      <c r="K86" s="17">
        <v>325</v>
      </c>
      <c r="L86" s="17">
        <v>1.5</v>
      </c>
      <c r="M86" s="17">
        <f t="shared" si="10"/>
        <v>57480.690823843623</v>
      </c>
      <c r="N86" s="17">
        <f t="shared" si="10"/>
        <v>28740.345411921811</v>
      </c>
      <c r="O86" s="10">
        <v>100</v>
      </c>
    </row>
    <row r="87" spans="1:15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1"/>
        <v>778.44007558031205</v>
      </c>
      <c r="F87" s="18">
        <v>2.5</v>
      </c>
      <c r="G87" s="19">
        <f t="shared" si="12"/>
        <v>357040.10981533863</v>
      </c>
      <c r="H87" s="19">
        <f t="shared" si="7"/>
        <v>1183.8448275150768</v>
      </c>
      <c r="I87" s="19">
        <f t="shared" si="8"/>
        <v>6323095.9906227989</v>
      </c>
      <c r="J87" s="17">
        <f t="shared" si="9"/>
        <v>3161547.9953113995</v>
      </c>
      <c r="K87" s="17">
        <v>325</v>
      </c>
      <c r="L87" s="17">
        <v>1.5</v>
      </c>
      <c r="M87" s="17">
        <f t="shared" si="10"/>
        <v>63230.959906227989</v>
      </c>
      <c r="N87" s="17">
        <f t="shared" si="10"/>
        <v>31615.479953113994</v>
      </c>
      <c r="O87" s="10">
        <v>100</v>
      </c>
    </row>
    <row r="88" spans="1:15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1"/>
        <v>789.33227595821359</v>
      </c>
      <c r="F88" s="18">
        <v>2.5</v>
      </c>
      <c r="G88" s="19">
        <f t="shared" si="12"/>
        <v>392756.22079687251</v>
      </c>
      <c r="H88" s="19">
        <f t="shared" si="7"/>
        <v>1244.0870688908306</v>
      </c>
      <c r="I88" s="19">
        <f t="shared" si="8"/>
        <v>6955625.5896850796</v>
      </c>
      <c r="J88" s="17">
        <f t="shared" si="9"/>
        <v>3477812.7948425398</v>
      </c>
      <c r="K88" s="17">
        <v>325</v>
      </c>
      <c r="L88" s="17">
        <v>1.5</v>
      </c>
      <c r="M88" s="17">
        <f t="shared" si="10"/>
        <v>69556.255896850795</v>
      </c>
      <c r="N88" s="17">
        <f t="shared" si="10"/>
        <v>34778.127948425397</v>
      </c>
      <c r="O88" s="10">
        <v>100</v>
      </c>
    </row>
    <row r="89" spans="1:15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1"/>
        <v>800.27893733800454</v>
      </c>
      <c r="F89" s="18">
        <v>2.5</v>
      </c>
      <c r="G89" s="19">
        <f t="shared" si="12"/>
        <v>432043.9428765598</v>
      </c>
      <c r="H89" s="19">
        <f t="shared" si="7"/>
        <v>1307.341422335372</v>
      </c>
      <c r="I89" s="19">
        <f t="shared" si="8"/>
        <v>7651408.1486535883</v>
      </c>
      <c r="J89" s="17">
        <f t="shared" si="9"/>
        <v>3825704.0743267941</v>
      </c>
      <c r="K89" s="17">
        <v>325</v>
      </c>
      <c r="L89" s="17">
        <v>1.5</v>
      </c>
      <c r="M89" s="17">
        <f t="shared" si="10"/>
        <v>76514.081486535884</v>
      </c>
      <c r="N89" s="17">
        <f t="shared" si="10"/>
        <v>38257.040743267942</v>
      </c>
      <c r="O89" s="10">
        <v>100</v>
      </c>
    </row>
    <row r="90" spans="1:15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1"/>
        <v>811.28033202469453</v>
      </c>
      <c r="F90" s="18">
        <v>2.5</v>
      </c>
      <c r="G90" s="19">
        <f t="shared" si="12"/>
        <v>475260.43716421584</v>
      </c>
      <c r="H90" s="19">
        <f t="shared" si="7"/>
        <v>1373.7584934521408</v>
      </c>
      <c r="I90" s="19">
        <f t="shared" si="8"/>
        <v>8416768.9635189474</v>
      </c>
      <c r="J90" s="17">
        <f t="shared" si="9"/>
        <v>4208384.4817594737</v>
      </c>
      <c r="K90" s="17">
        <v>325</v>
      </c>
      <c r="L90" s="17">
        <v>1.5</v>
      </c>
      <c r="M90" s="17">
        <f t="shared" si="10"/>
        <v>84167.689635189468</v>
      </c>
      <c r="N90" s="17">
        <f t="shared" si="10"/>
        <v>42083.844817594734</v>
      </c>
      <c r="O90" s="10">
        <v>100</v>
      </c>
    </row>
    <row r="91" spans="1:15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1"/>
        <v>822.33673368481789</v>
      </c>
      <c r="F91" s="18">
        <v>2.5</v>
      </c>
      <c r="G91" s="19">
        <f t="shared" si="12"/>
        <v>522798.58088063746</v>
      </c>
      <c r="H91" s="19">
        <f t="shared" si="7"/>
        <v>1443.4964181247478</v>
      </c>
      <c r="I91" s="19">
        <f t="shared" si="8"/>
        <v>9258665.8598708436</v>
      </c>
      <c r="J91" s="17">
        <f t="shared" si="9"/>
        <v>4629332.9299354218</v>
      </c>
      <c r="K91" s="17">
        <v>325</v>
      </c>
      <c r="L91" s="17">
        <v>1.5</v>
      </c>
      <c r="M91" s="17">
        <f t="shared" si="10"/>
        <v>92586.65859870844</v>
      </c>
      <c r="N91" s="17">
        <f t="shared" si="10"/>
        <v>46293.32929935422</v>
      </c>
      <c r="O91" s="10">
        <v>100</v>
      </c>
    </row>
    <row r="92" spans="1:15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1"/>
        <v>833.44841735324189</v>
      </c>
      <c r="F92" s="18">
        <v>2.5</v>
      </c>
      <c r="G92" s="19">
        <f t="shared" si="12"/>
        <v>575090.53896870126</v>
      </c>
      <c r="H92" s="19">
        <f t="shared" si="7"/>
        <v>1516.7212390309853</v>
      </c>
      <c r="I92" s="19">
        <f t="shared" si="8"/>
        <v>10184752.445857929</v>
      </c>
      <c r="J92" s="17">
        <f t="shared" si="9"/>
        <v>5092376.2229289645</v>
      </c>
      <c r="K92" s="17">
        <v>325</v>
      </c>
      <c r="L92" s="17">
        <v>1.5</v>
      </c>
      <c r="M92" s="17">
        <f t="shared" si="10"/>
        <v>101847.5244585793</v>
      </c>
      <c r="N92" s="17">
        <f t="shared" si="10"/>
        <v>50923.762229289649</v>
      </c>
      <c r="O92" s="10">
        <v>100</v>
      </c>
    </row>
    <row r="93" spans="1:15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1"/>
        <v>844.61565944000802</v>
      </c>
      <c r="F93" s="18">
        <v>2.5</v>
      </c>
      <c r="G93" s="19">
        <f t="shared" si="12"/>
        <v>632611.69286557147</v>
      </c>
      <c r="H93" s="19">
        <f t="shared" si="7"/>
        <v>1593.6073009825348</v>
      </c>
      <c r="I93" s="19">
        <f t="shared" si="8"/>
        <v>11203447.690443723</v>
      </c>
      <c r="J93" s="17">
        <f t="shared" si="9"/>
        <v>5601723.8452218613</v>
      </c>
      <c r="K93" s="17">
        <v>325</v>
      </c>
      <c r="L93" s="17">
        <v>1.5</v>
      </c>
      <c r="M93" s="17">
        <f t="shared" si="10"/>
        <v>112034.47690443722</v>
      </c>
      <c r="N93" s="17">
        <f t="shared" si="10"/>
        <v>56017.238452218611</v>
      </c>
      <c r="O93" s="10">
        <v>100</v>
      </c>
    </row>
    <row r="94" spans="1:15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1"/>
        <v>855.83873773720802</v>
      </c>
      <c r="F94" s="18">
        <v>2.5</v>
      </c>
      <c r="G94" s="19">
        <f t="shared" si="12"/>
        <v>695884.96215212869</v>
      </c>
      <c r="H94" s="19">
        <f t="shared" si="7"/>
        <v>1674.3376660316615</v>
      </c>
      <c r="I94" s="19">
        <f t="shared" si="8"/>
        <v>12324012.459488096</v>
      </c>
      <c r="J94" s="17">
        <f t="shared" si="9"/>
        <v>6162006.2297440479</v>
      </c>
      <c r="K94" s="17">
        <v>325</v>
      </c>
      <c r="L94" s="17">
        <v>1.5</v>
      </c>
      <c r="M94" s="17">
        <f t="shared" si="10"/>
        <v>123240.12459488097</v>
      </c>
      <c r="N94" s="17">
        <f t="shared" si="10"/>
        <v>61620.062297440483</v>
      </c>
      <c r="O94" s="10">
        <v>100</v>
      </c>
    </row>
    <row r="95" spans="1:15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1"/>
        <v>867.11793142589397</v>
      </c>
      <c r="F95" s="18">
        <v>2.5</v>
      </c>
      <c r="G95" s="19">
        <f t="shared" si="12"/>
        <v>765485.55836734164</v>
      </c>
      <c r="H95" s="19">
        <f t="shared" si="7"/>
        <v>1759.1045493332447</v>
      </c>
      <c r="I95" s="19">
        <f t="shared" si="8"/>
        <v>13556633.705436906</v>
      </c>
      <c r="J95" s="17">
        <f t="shared" si="9"/>
        <v>6778316.8527184529</v>
      </c>
      <c r="K95" s="17">
        <v>325</v>
      </c>
      <c r="L95" s="17">
        <v>1.5</v>
      </c>
      <c r="M95" s="17">
        <f t="shared" si="10"/>
        <v>135566.33705436907</v>
      </c>
      <c r="N95" s="17">
        <f t="shared" si="10"/>
        <v>67783.168527184534</v>
      </c>
      <c r="O95" s="10">
        <v>100</v>
      </c>
    </row>
    <row r="96" spans="1:15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1"/>
        <v>878.45352108302336</v>
      </c>
      <c r="F96" s="18">
        <v>2.5</v>
      </c>
      <c r="G96" s="19">
        <f t="shared" si="12"/>
        <v>842046.21420407586</v>
      </c>
      <c r="H96" s="19">
        <f t="shared" si="7"/>
        <v>1848.109776799907</v>
      </c>
      <c r="I96" s="19">
        <f t="shared" si="8"/>
        <v>14912517.075980598</v>
      </c>
      <c r="J96" s="17">
        <f t="shared" si="9"/>
        <v>7456258.5379902991</v>
      </c>
      <c r="K96" s="17">
        <v>325</v>
      </c>
      <c r="L96" s="17">
        <v>1.5</v>
      </c>
      <c r="M96" s="17">
        <f t="shared" si="10"/>
        <v>149125.17075980597</v>
      </c>
      <c r="N96" s="17">
        <f t="shared" si="10"/>
        <v>74562.585379902986</v>
      </c>
      <c r="O96" s="10">
        <v>100</v>
      </c>
    </row>
    <row r="97" spans="1:15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1"/>
        <v>889.84578868843835</v>
      </c>
      <c r="F97" s="18">
        <v>2.5</v>
      </c>
      <c r="G97" s="19">
        <f t="shared" si="12"/>
        <v>926262.93562448351</v>
      </c>
      <c r="H97" s="19">
        <f t="shared" si="7"/>
        <v>1941.5652656399025</v>
      </c>
      <c r="I97" s="19">
        <f t="shared" si="8"/>
        <v>16403988.783578658</v>
      </c>
      <c r="J97" s="17">
        <f t="shared" si="9"/>
        <v>8201994.3917893292</v>
      </c>
      <c r="K97" s="17">
        <v>325</v>
      </c>
      <c r="L97" s="17">
        <v>1.5</v>
      </c>
      <c r="M97" s="17">
        <f t="shared" si="10"/>
        <v>164039.88783578659</v>
      </c>
      <c r="N97" s="17">
        <f t="shared" si="10"/>
        <v>82019.943917893295</v>
      </c>
      <c r="O97" s="10">
        <v>100</v>
      </c>
    </row>
    <row r="98" spans="1:15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1"/>
        <v>901.29501763188046</v>
      </c>
      <c r="F98" s="18">
        <v>2.5</v>
      </c>
      <c r="G98" s="19">
        <f t="shared" si="12"/>
        <v>1018901.329186932</v>
      </c>
      <c r="H98" s="19">
        <f t="shared" si="7"/>
        <v>2039.6935289218977</v>
      </c>
      <c r="I98" s="19">
        <f t="shared" si="8"/>
        <v>18044607.661936525</v>
      </c>
      <c r="J98" s="17">
        <f t="shared" si="9"/>
        <v>9022303.8309682626</v>
      </c>
      <c r="K98" s="17">
        <v>325</v>
      </c>
      <c r="L98" s="17">
        <v>1.5</v>
      </c>
      <c r="M98" s="17">
        <f t="shared" si="10"/>
        <v>180446.07661936525</v>
      </c>
      <c r="N98" s="17">
        <f t="shared" si="10"/>
        <v>90223.038309682626</v>
      </c>
      <c r="O98" s="10">
        <v>100</v>
      </c>
    </row>
    <row r="99" spans="1:15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1"/>
        <v>912.80149272003973</v>
      </c>
      <c r="F99" s="18">
        <v>2.5</v>
      </c>
      <c r="G99" s="19">
        <f t="shared" si="12"/>
        <v>1120803.5621056252</v>
      </c>
      <c r="H99" s="19">
        <f t="shared" si="7"/>
        <v>2142.7282053679928</v>
      </c>
      <c r="I99" s="19">
        <f t="shared" si="8"/>
        <v>19849288.42813018</v>
      </c>
      <c r="J99" s="17">
        <f t="shared" si="9"/>
        <v>9924644.2140650898</v>
      </c>
      <c r="K99" s="17">
        <v>325</v>
      </c>
      <c r="L99" s="17">
        <v>1.5</v>
      </c>
      <c r="M99" s="17">
        <f t="shared" si="10"/>
        <v>198492.88428130181</v>
      </c>
      <c r="N99" s="17">
        <f t="shared" si="10"/>
        <v>99246.442140650906</v>
      </c>
      <c r="O99" s="10">
        <v>100</v>
      </c>
    </row>
    <row r="100" spans="1:15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1"/>
        <v>924.36550018363982</v>
      </c>
      <c r="F100" s="18">
        <v>2.5</v>
      </c>
      <c r="G100" s="19">
        <f t="shared" si="12"/>
        <v>1232896.0183161879</v>
      </c>
      <c r="H100" s="19">
        <f t="shared" si="7"/>
        <v>2250.9146156363927</v>
      </c>
      <c r="I100" s="19">
        <f t="shared" si="8"/>
        <v>21834437.270943198</v>
      </c>
      <c r="J100" s="17">
        <f t="shared" si="9"/>
        <v>10917218.635471599</v>
      </c>
      <c r="K100" s="17">
        <v>325</v>
      </c>
      <c r="L100" s="17">
        <v>1.5</v>
      </c>
      <c r="M100" s="17">
        <f t="shared" si="10"/>
        <v>218344.37270943198</v>
      </c>
      <c r="N100" s="17">
        <f t="shared" si="10"/>
        <v>109172.18635471599</v>
      </c>
      <c r="O100" s="10">
        <v>100</v>
      </c>
    </row>
    <row r="101" spans="1:15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1"/>
        <v>935.98732768455795</v>
      </c>
      <c r="F101" s="18">
        <v>2.5</v>
      </c>
      <c r="G101" s="19">
        <f t="shared" si="12"/>
        <v>1356197.7201478067</v>
      </c>
      <c r="H101" s="19">
        <f t="shared" si="7"/>
        <v>2364.5103464182125</v>
      </c>
      <c r="I101" s="19">
        <f t="shared" si="8"/>
        <v>24018100.998037521</v>
      </c>
      <c r="J101" s="17">
        <f t="shared" si="9"/>
        <v>12009050.49901876</v>
      </c>
      <c r="K101" s="17">
        <v>325</v>
      </c>
      <c r="L101" s="17">
        <v>1.5</v>
      </c>
      <c r="M101" s="17">
        <f t="shared" si="10"/>
        <v>240181.00998037521</v>
      </c>
      <c r="N101" s="17">
        <f t="shared" si="10"/>
        <v>120090.5049901876</v>
      </c>
      <c r="O101" s="10">
        <v>100</v>
      </c>
    </row>
    <row r="102" spans="1:15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1"/>
        <v>947.6672643229806</v>
      </c>
      <c r="F102" s="18">
        <v>2.5</v>
      </c>
      <c r="G102" s="19">
        <f t="shared" si="12"/>
        <v>1491829.5921625874</v>
      </c>
      <c r="H102" s="19">
        <f t="shared" si="7"/>
        <v>2483.7858637391232</v>
      </c>
      <c r="I102" s="19">
        <f t="shared" si="8"/>
        <v>26420131.097841274</v>
      </c>
      <c r="J102" s="17">
        <f t="shared" si="9"/>
        <v>13210065.548920637</v>
      </c>
      <c r="K102" s="17">
        <v>325</v>
      </c>
      <c r="L102" s="17">
        <v>1.5</v>
      </c>
      <c r="M102" s="17">
        <f t="shared" si="10"/>
        <v>264201.31097841274</v>
      </c>
      <c r="N102" s="17">
        <f t="shared" si="10"/>
        <v>132100.65548920637</v>
      </c>
      <c r="O102" s="10">
        <v>100</v>
      </c>
    </row>
    <row r="103" spans="1:15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1"/>
        <v>959.40560064459544</v>
      </c>
      <c r="F103" s="18">
        <v>2.5</v>
      </c>
      <c r="G103" s="19">
        <f t="shared" si="12"/>
        <v>1641024.6513788463</v>
      </c>
      <c r="H103" s="19">
        <f t="shared" si="7"/>
        <v>2609.0251569260795</v>
      </c>
      <c r="I103" s="19">
        <f t="shared" si="8"/>
        <v>29062364.207625404</v>
      </c>
      <c r="J103" s="17">
        <f t="shared" si="9"/>
        <v>14531182.103812702</v>
      </c>
      <c r="K103" s="17">
        <v>325</v>
      </c>
      <c r="L103" s="17">
        <v>1.5</v>
      </c>
      <c r="M103" s="17">
        <f t="shared" si="10"/>
        <v>290623.64207625407</v>
      </c>
      <c r="N103" s="17">
        <f t="shared" si="10"/>
        <v>145311.82103812703</v>
      </c>
      <c r="O103" s="10">
        <v>100</v>
      </c>
    </row>
    <row r="104" spans="1:15" ht="15" x14ac:dyDescent="0.15">
      <c r="A104" s="31" t="s">
        <v>510</v>
      </c>
      <c r="B104" s="31" t="s">
        <v>510</v>
      </c>
      <c r="C104" s="28">
        <v>101</v>
      </c>
      <c r="D104" s="29">
        <v>2000</v>
      </c>
      <c r="E104" s="29">
        <v>4000</v>
      </c>
      <c r="F104" s="29">
        <v>25</v>
      </c>
      <c r="G104" s="29">
        <v>16410246.513788501</v>
      </c>
      <c r="H104" s="29">
        <v>15654.1509415565</v>
      </c>
      <c r="I104" s="29">
        <v>174374185.24575201</v>
      </c>
      <c r="J104" s="29">
        <v>87187092.622876197</v>
      </c>
      <c r="K104" s="30">
        <v>400</v>
      </c>
      <c r="L104" s="30">
        <v>1.2</v>
      </c>
      <c r="M104" s="29">
        <v>1743741.8524575201</v>
      </c>
      <c r="N104" s="29">
        <v>871870.92622876202</v>
      </c>
      <c r="O104" s="29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2019-03-11T12:39:53Z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