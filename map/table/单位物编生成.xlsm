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B0ABFE88-4A27-49C4-967F-187D4C48A247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5" i="30" l="1"/>
  <c r="D6" i="30" s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E76" i="30" l="1"/>
  <c r="G76" i="30"/>
  <c r="H76" i="30"/>
  <c r="I76" i="30"/>
  <c r="J76" i="30"/>
  <c r="M76" i="30"/>
  <c r="N76" i="30"/>
  <c r="G77" i="30"/>
  <c r="H77" i="30"/>
  <c r="I77" i="30"/>
  <c r="J77" i="30"/>
  <c r="M77" i="30"/>
  <c r="N77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E64" i="30" l="1"/>
  <c r="E65" i="30" s="1"/>
  <c r="E66" i="30" s="1"/>
  <c r="E67" i="30" s="1"/>
  <c r="E68" i="30" s="1"/>
  <c r="E69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4" i="30" l="1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D76" i="30" s="1"/>
  <c r="D77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M69" i="30" l="1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N69" i="30" l="1"/>
</calcChain>
</file>

<file path=xl/sharedStrings.xml><?xml version="1.0" encoding="utf-8"?>
<sst xmlns="http://schemas.openxmlformats.org/spreadsheetml/2006/main" count="823" uniqueCount="517">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</sst>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D117" sqref="D11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397</v>
      </c>
      <c r="F2" s="3" t="s">
        <v>4</v>
      </c>
      <c r="G2" s="3" t="s">
        <v>5</v>
      </c>
      <c r="H2" t="s">
        <v>480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398</v>
      </c>
      <c r="F3" s="1" t="s">
        <v>11</v>
      </c>
      <c r="G3" s="1" t="s">
        <v>12</v>
      </c>
      <c r="H3" s="1" t="s">
        <v>481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60</v>
      </c>
    </row>
    <row r="46" spans="1:8" ht="15" x14ac:dyDescent="0.15">
      <c r="A46" s="7" t="s">
        <v>120</v>
      </c>
      <c r="B46" s="12" t="s">
        <v>121</v>
      </c>
      <c r="E46" s="2"/>
      <c r="H46" s="1">
        <v>60</v>
      </c>
    </row>
    <row r="47" spans="1:8" ht="15" x14ac:dyDescent="0.15">
      <c r="A47" s="7" t="s">
        <v>122</v>
      </c>
      <c r="B47" s="12" t="s">
        <v>123</v>
      </c>
      <c r="E47" s="2"/>
      <c r="H47" s="1">
        <v>60</v>
      </c>
    </row>
    <row r="48" spans="1:8" ht="15" x14ac:dyDescent="0.15">
      <c r="A48" s="7" t="s">
        <v>18</v>
      </c>
      <c r="B48" s="12" t="s">
        <v>124</v>
      </c>
      <c r="E48" s="2"/>
      <c r="H48" s="1">
        <v>60</v>
      </c>
    </row>
    <row r="49" spans="1:8" ht="15" x14ac:dyDescent="0.15">
      <c r="A49" s="7" t="s">
        <v>125</v>
      </c>
      <c r="B49" s="12" t="s">
        <v>126</v>
      </c>
      <c r="E49" s="2"/>
      <c r="H49" s="1">
        <v>60</v>
      </c>
    </row>
    <row r="50" spans="1:8" ht="15" x14ac:dyDescent="0.15">
      <c r="A50" s="7" t="s">
        <v>127</v>
      </c>
      <c r="B50" s="12" t="s">
        <v>128</v>
      </c>
      <c r="E50" s="2"/>
      <c r="H50" s="1">
        <v>60</v>
      </c>
    </row>
    <row r="51" spans="1:8" ht="15" x14ac:dyDescent="0.15">
      <c r="A51" s="7" t="s">
        <v>129</v>
      </c>
      <c r="B51" s="12" t="s">
        <v>130</v>
      </c>
      <c r="E51" s="2"/>
      <c r="H51" s="1">
        <v>60</v>
      </c>
    </row>
    <row r="52" spans="1:8" ht="15" x14ac:dyDescent="0.15">
      <c r="A52" s="7" t="s">
        <v>131</v>
      </c>
      <c r="B52" s="12" t="s">
        <v>132</v>
      </c>
      <c r="E52" s="2"/>
      <c r="H52" s="1">
        <v>60</v>
      </c>
    </row>
    <row r="53" spans="1:8" ht="15" x14ac:dyDescent="0.15">
      <c r="A53" s="7" t="s">
        <v>133</v>
      </c>
      <c r="B53" s="12" t="s">
        <v>134</v>
      </c>
      <c r="E53" s="2"/>
      <c r="H53" s="1">
        <v>60</v>
      </c>
    </row>
    <row r="54" spans="1:8" ht="15" x14ac:dyDescent="0.15">
      <c r="A54" s="7" t="s">
        <v>135</v>
      </c>
      <c r="B54" s="12" t="s">
        <v>136</v>
      </c>
      <c r="E54" s="2"/>
      <c r="H54" s="1">
        <v>60</v>
      </c>
    </row>
    <row r="55" spans="1:8" ht="15" x14ac:dyDescent="0.15">
      <c r="A55" s="7" t="s">
        <v>137</v>
      </c>
      <c r="B55" s="12" t="s">
        <v>138</v>
      </c>
      <c r="E55" s="2"/>
      <c r="H55" s="1">
        <v>60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60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60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60</v>
      </c>
    </row>
    <row r="59" spans="1:8" ht="15" x14ac:dyDescent="0.15">
      <c r="A59" s="7" t="s">
        <v>145</v>
      </c>
      <c r="B59" s="12" t="s">
        <v>146</v>
      </c>
      <c r="E59" s="2"/>
      <c r="H59" s="1">
        <v>60</v>
      </c>
    </row>
    <row r="60" spans="1:8" ht="15" x14ac:dyDescent="0.15">
      <c r="A60" s="7" t="s">
        <v>147</v>
      </c>
      <c r="B60" s="12" t="s">
        <v>148</v>
      </c>
      <c r="E60" s="2"/>
      <c r="H60" s="1">
        <v>60</v>
      </c>
    </row>
    <row r="61" spans="1:8" ht="15" x14ac:dyDescent="0.15">
      <c r="A61" s="7" t="s">
        <v>149</v>
      </c>
      <c r="B61" s="12" t="s">
        <v>150</v>
      </c>
      <c r="E61" s="2"/>
      <c r="H61" s="1">
        <v>60</v>
      </c>
    </row>
    <row r="62" spans="1:8" ht="15" x14ac:dyDescent="0.15">
      <c r="A62" s="7" t="s">
        <v>151</v>
      </c>
      <c r="B62" s="12" t="s">
        <v>152</v>
      </c>
      <c r="E62" s="2"/>
      <c r="H62" s="1">
        <v>60</v>
      </c>
    </row>
    <row r="63" spans="1:8" ht="15" x14ac:dyDescent="0.15">
      <c r="A63" s="7" t="s">
        <v>153</v>
      </c>
      <c r="B63" s="12" t="s">
        <v>154</v>
      </c>
      <c r="E63" s="2"/>
      <c r="H63" s="1">
        <v>60</v>
      </c>
    </row>
    <row r="64" spans="1:8" ht="15" x14ac:dyDescent="0.15">
      <c r="A64" s="7" t="s">
        <v>155</v>
      </c>
      <c r="B64" s="12" t="s">
        <v>156</v>
      </c>
      <c r="E64" s="2"/>
      <c r="H64" s="1">
        <v>60</v>
      </c>
    </row>
    <row r="65" spans="1:8" ht="15" x14ac:dyDescent="0.15">
      <c r="A65" s="7" t="s">
        <v>157</v>
      </c>
      <c r="B65" s="12" t="s">
        <v>158</v>
      </c>
      <c r="E65" s="2"/>
      <c r="H65" s="1">
        <v>90</v>
      </c>
    </row>
    <row r="66" spans="1:8" ht="15" x14ac:dyDescent="0.15">
      <c r="A66" s="7" t="s">
        <v>17</v>
      </c>
      <c r="B66" s="12" t="s">
        <v>159</v>
      </c>
      <c r="E66" s="2"/>
      <c r="H66" s="1">
        <v>90</v>
      </c>
    </row>
    <row r="67" spans="1:8" ht="15" x14ac:dyDescent="0.15">
      <c r="A67" s="7" t="s">
        <v>160</v>
      </c>
      <c r="B67" s="12" t="s">
        <v>161</v>
      </c>
      <c r="E67" s="2"/>
      <c r="H67" s="1">
        <v>90</v>
      </c>
    </row>
    <row r="68" spans="1:8" ht="15" x14ac:dyDescent="0.15">
      <c r="A68" s="7" t="s">
        <v>16</v>
      </c>
      <c r="B68" s="12" t="s">
        <v>162</v>
      </c>
      <c r="E68" s="2"/>
      <c r="H68" s="1">
        <v>90</v>
      </c>
    </row>
    <row r="69" spans="1:8" ht="15" x14ac:dyDescent="0.15">
      <c r="A69" s="7" t="s">
        <v>19</v>
      </c>
      <c r="B69" s="12" t="s">
        <v>163</v>
      </c>
      <c r="E69" s="2"/>
      <c r="H69" s="1">
        <v>90</v>
      </c>
    </row>
    <row r="70" spans="1:8" ht="15" x14ac:dyDescent="0.15">
      <c r="A70" s="7" t="s">
        <v>164</v>
      </c>
      <c r="B70" s="12" t="s">
        <v>165</v>
      </c>
      <c r="E70" s="2"/>
      <c r="H70" s="1">
        <v>90</v>
      </c>
    </row>
    <row r="71" spans="1:8" ht="15" x14ac:dyDescent="0.15">
      <c r="A71" s="7" t="s">
        <v>166</v>
      </c>
      <c r="B71" s="12" t="s">
        <v>167</v>
      </c>
      <c r="E71" s="2"/>
      <c r="H71" s="1">
        <v>90</v>
      </c>
    </row>
    <row r="72" spans="1:8" ht="15" x14ac:dyDescent="0.15">
      <c r="A72" s="7" t="s">
        <v>168</v>
      </c>
      <c r="B72" s="12" t="s">
        <v>169</v>
      </c>
      <c r="E72" s="2"/>
      <c r="H72" s="1">
        <v>90</v>
      </c>
    </row>
    <row r="73" spans="1:8" ht="15" x14ac:dyDescent="0.15">
      <c r="A73" s="7" t="s">
        <v>170</v>
      </c>
      <c r="B73" s="12" t="s">
        <v>171</v>
      </c>
      <c r="E73" s="2"/>
      <c r="H73" s="1">
        <v>90</v>
      </c>
    </row>
    <row r="74" spans="1:8" ht="15" x14ac:dyDescent="0.15">
      <c r="A74" s="7" t="s">
        <v>172</v>
      </c>
      <c r="B74" s="12" t="s">
        <v>173</v>
      </c>
      <c r="E74" s="2"/>
      <c r="H74" s="1">
        <v>90</v>
      </c>
    </row>
    <row r="75" spans="1:8" ht="15" x14ac:dyDescent="0.15">
      <c r="A75" s="7" t="s">
        <v>174</v>
      </c>
      <c r="B75" s="12" t="s">
        <v>175</v>
      </c>
      <c r="E75" s="2"/>
      <c r="H75" s="1">
        <v>90</v>
      </c>
    </row>
    <row r="76" spans="1:8" ht="15" x14ac:dyDescent="0.15">
      <c r="A76" s="7" t="s">
        <v>176</v>
      </c>
      <c r="B76" s="12" t="s">
        <v>177</v>
      </c>
      <c r="E76" s="2"/>
      <c r="H76" s="1">
        <v>90</v>
      </c>
    </row>
    <row r="77" spans="1:8" ht="15" x14ac:dyDescent="0.15">
      <c r="A77" s="7" t="s">
        <v>178</v>
      </c>
      <c r="B77" s="12" t="s">
        <v>179</v>
      </c>
      <c r="E77" s="2"/>
      <c r="H77" s="1">
        <v>90</v>
      </c>
    </row>
    <row r="78" spans="1:8" ht="15" x14ac:dyDescent="0.15">
      <c r="A78" s="7" t="s">
        <v>180</v>
      </c>
      <c r="B78" s="12" t="s">
        <v>181</v>
      </c>
      <c r="E78" s="2"/>
      <c r="H78" s="1">
        <v>90</v>
      </c>
    </row>
    <row r="79" spans="1:8" ht="15" x14ac:dyDescent="0.15">
      <c r="A79" s="7" t="s">
        <v>182</v>
      </c>
      <c r="B79" s="12" t="s">
        <v>183</v>
      </c>
      <c r="E79" s="2"/>
      <c r="H79" s="1">
        <v>90</v>
      </c>
    </row>
    <row r="80" spans="1:8" ht="15" x14ac:dyDescent="0.15">
      <c r="A80" s="7" t="s">
        <v>184</v>
      </c>
      <c r="B80" s="12" t="s">
        <v>185</v>
      </c>
      <c r="E80" s="2"/>
      <c r="H80" s="1">
        <v>90</v>
      </c>
    </row>
    <row r="81" spans="1:8" ht="15" x14ac:dyDescent="0.15">
      <c r="A81" s="7" t="s">
        <v>186</v>
      </c>
      <c r="B81" s="12" t="s">
        <v>187</v>
      </c>
      <c r="E81" s="2"/>
      <c r="H81" s="1">
        <v>90</v>
      </c>
    </row>
    <row r="82" spans="1:8" ht="15" x14ac:dyDescent="0.15">
      <c r="A82" s="7" t="s">
        <v>188</v>
      </c>
      <c r="B82" s="12" t="s">
        <v>189</v>
      </c>
      <c r="E82" s="2"/>
      <c r="H82" s="1">
        <v>90</v>
      </c>
    </row>
    <row r="83" spans="1:8" ht="15" x14ac:dyDescent="0.15">
      <c r="A83" s="7" t="s">
        <v>190</v>
      </c>
      <c r="B83" s="12" t="s">
        <v>191</v>
      </c>
      <c r="E83" s="2"/>
      <c r="H83" s="1">
        <v>90</v>
      </c>
    </row>
    <row r="84" spans="1:8" ht="15" x14ac:dyDescent="0.15">
      <c r="A84" s="7" t="s">
        <v>192</v>
      </c>
      <c r="B84" s="12" t="s">
        <v>193</v>
      </c>
      <c r="E84" s="2"/>
      <c r="H84" s="1">
        <v>90</v>
      </c>
    </row>
    <row r="85" spans="1:8" ht="15" x14ac:dyDescent="0.15">
      <c r="A85" s="8" t="s">
        <v>403</v>
      </c>
      <c r="B85" s="12" t="s">
        <v>183</v>
      </c>
      <c r="H85" s="1">
        <v>30</v>
      </c>
    </row>
    <row r="86" spans="1:8" ht="15" x14ac:dyDescent="0.15">
      <c r="A86" s="8" t="s">
        <v>405</v>
      </c>
      <c r="B86" s="12" t="s">
        <v>404</v>
      </c>
      <c r="H86" s="1">
        <v>30</v>
      </c>
    </row>
    <row r="87" spans="1:8" ht="15" x14ac:dyDescent="0.15">
      <c r="A87" s="8" t="s">
        <v>408</v>
      </c>
      <c r="B87" s="18" t="s">
        <v>410</v>
      </c>
      <c r="H87" s="1">
        <v>30</v>
      </c>
    </row>
    <row r="88" spans="1:8" ht="15" x14ac:dyDescent="0.15">
      <c r="A88" s="8" t="s">
        <v>416</v>
      </c>
      <c r="B88" s="18" t="s">
        <v>410</v>
      </c>
      <c r="C88" s="16" t="s">
        <v>417</v>
      </c>
      <c r="H88" s="1">
        <v>30</v>
      </c>
    </row>
    <row r="89" spans="1:8" ht="15" x14ac:dyDescent="0.15">
      <c r="A89" s="19" t="s">
        <v>419</v>
      </c>
      <c r="B89" s="18" t="s">
        <v>418</v>
      </c>
      <c r="H89" s="1">
        <v>30</v>
      </c>
    </row>
    <row r="90" spans="1:8" ht="15" x14ac:dyDescent="0.15">
      <c r="A90" s="8" t="s">
        <v>421</v>
      </c>
      <c r="B90" s="18" t="s">
        <v>420</v>
      </c>
      <c r="H90" s="1">
        <v>30</v>
      </c>
    </row>
    <row r="91" spans="1:8" ht="15" x14ac:dyDescent="0.15">
      <c r="A91" s="20" t="s">
        <v>426</v>
      </c>
      <c r="B91" s="13" t="s">
        <v>422</v>
      </c>
      <c r="C91" s="21" t="s">
        <v>434</v>
      </c>
      <c r="H91" s="1">
        <v>30</v>
      </c>
    </row>
    <row r="92" spans="1:8" ht="15" x14ac:dyDescent="0.15">
      <c r="A92" s="8" t="s">
        <v>423</v>
      </c>
      <c r="B92" s="13" t="s">
        <v>424</v>
      </c>
      <c r="C92" s="21" t="s">
        <v>435</v>
      </c>
      <c r="H92" s="1">
        <v>30</v>
      </c>
    </row>
    <row r="93" spans="1:8" ht="15" x14ac:dyDescent="0.15">
      <c r="A93" s="20" t="s">
        <v>425</v>
      </c>
      <c r="B93" s="18" t="s">
        <v>410</v>
      </c>
      <c r="C93" s="21"/>
      <c r="H93" s="1">
        <v>30</v>
      </c>
    </row>
    <row r="94" spans="1:8" ht="15" x14ac:dyDescent="0.15">
      <c r="A94" s="20" t="s">
        <v>427</v>
      </c>
      <c r="B94" s="13" t="s">
        <v>461</v>
      </c>
      <c r="C94" s="21" t="s">
        <v>436</v>
      </c>
      <c r="H94" s="1">
        <v>30</v>
      </c>
    </row>
    <row r="95" spans="1:8" ht="15" x14ac:dyDescent="0.15">
      <c r="A95" s="20" t="s">
        <v>428</v>
      </c>
      <c r="B95" s="13" t="s">
        <v>462</v>
      </c>
      <c r="C95" s="21" t="s">
        <v>437</v>
      </c>
      <c r="H95" s="1">
        <v>30</v>
      </c>
    </row>
    <row r="96" spans="1:8" ht="15" x14ac:dyDescent="0.15">
      <c r="A96" s="20" t="s">
        <v>429</v>
      </c>
      <c r="B96" s="13" t="s">
        <v>460</v>
      </c>
      <c r="C96" s="21" t="s">
        <v>438</v>
      </c>
      <c r="H96" s="1">
        <v>30</v>
      </c>
    </row>
    <row r="97" spans="1:8" ht="15" x14ac:dyDescent="0.15">
      <c r="A97" s="20" t="s">
        <v>430</v>
      </c>
      <c r="B97" s="13" t="s">
        <v>463</v>
      </c>
      <c r="C97" s="21" t="s">
        <v>439</v>
      </c>
      <c r="H97" s="1">
        <v>30</v>
      </c>
    </row>
    <row r="98" spans="1:8" ht="15" x14ac:dyDescent="0.15">
      <c r="A98" s="20" t="s">
        <v>431</v>
      </c>
      <c r="B98" s="13" t="s">
        <v>464</v>
      </c>
      <c r="C98" s="21" t="s">
        <v>440</v>
      </c>
      <c r="H98" s="1">
        <v>30</v>
      </c>
    </row>
    <row r="99" spans="1:8" ht="15" x14ac:dyDescent="0.15">
      <c r="A99" s="20" t="s">
        <v>432</v>
      </c>
      <c r="B99" s="13" t="s">
        <v>465</v>
      </c>
      <c r="C99" s="21" t="s">
        <v>441</v>
      </c>
      <c r="H99" s="1">
        <v>30</v>
      </c>
    </row>
    <row r="100" spans="1:8" ht="15" x14ac:dyDescent="0.15">
      <c r="A100" s="20" t="s">
        <v>433</v>
      </c>
      <c r="B100" s="18" t="s">
        <v>410</v>
      </c>
      <c r="C100" s="21" t="s">
        <v>442</v>
      </c>
      <c r="H100" s="1">
        <v>30</v>
      </c>
    </row>
    <row r="101" spans="1:8" ht="15" x14ac:dyDescent="0.15">
      <c r="A101" s="23" t="s">
        <v>504</v>
      </c>
      <c r="B101" s="18" t="s">
        <v>410</v>
      </c>
      <c r="C101" s="27" t="s">
        <v>482</v>
      </c>
      <c r="H101" s="1">
        <v>90</v>
      </c>
    </row>
    <row r="102" spans="1:8" ht="15" x14ac:dyDescent="0.15">
      <c r="A102" s="23" t="s">
        <v>506</v>
      </c>
      <c r="B102" s="18" t="s">
        <v>410</v>
      </c>
      <c r="C102" s="27" t="s">
        <v>483</v>
      </c>
      <c r="H102" s="1">
        <v>90</v>
      </c>
    </row>
    <row r="103" spans="1:8" ht="15" x14ac:dyDescent="0.15">
      <c r="A103" s="23" t="s">
        <v>507</v>
      </c>
      <c r="B103" s="18" t="s">
        <v>410</v>
      </c>
      <c r="C103" s="27" t="s">
        <v>484</v>
      </c>
      <c r="H103" s="1">
        <v>90</v>
      </c>
    </row>
    <row r="104" spans="1:8" ht="15" x14ac:dyDescent="0.15">
      <c r="A104" s="23" t="s">
        <v>508</v>
      </c>
      <c r="B104" s="18" t="s">
        <v>410</v>
      </c>
      <c r="C104" s="27" t="s">
        <v>485</v>
      </c>
      <c r="H104" s="1">
        <v>90</v>
      </c>
    </row>
    <row r="105" spans="1:8" ht="15" x14ac:dyDescent="0.15">
      <c r="A105" s="23" t="s">
        <v>509</v>
      </c>
      <c r="B105" s="18" t="s">
        <v>410</v>
      </c>
      <c r="C105" s="27" t="s">
        <v>486</v>
      </c>
      <c r="H105" s="1">
        <v>90</v>
      </c>
    </row>
    <row r="106" spans="1:8" ht="15" x14ac:dyDescent="0.15">
      <c r="A106" s="23" t="s">
        <v>510</v>
      </c>
      <c r="B106" s="18" t="s">
        <v>410</v>
      </c>
      <c r="C106" s="27" t="s">
        <v>487</v>
      </c>
      <c r="H106" s="1">
        <v>90</v>
      </c>
    </row>
    <row r="107" spans="1:8" ht="15" x14ac:dyDescent="0.15">
      <c r="A107" s="23" t="s">
        <v>511</v>
      </c>
      <c r="B107" s="18" t="s">
        <v>410</v>
      </c>
      <c r="C107" s="27" t="s">
        <v>488</v>
      </c>
      <c r="H107" s="1">
        <v>90</v>
      </c>
    </row>
    <row r="108" spans="1:8" ht="15" x14ac:dyDescent="0.15">
      <c r="A108" s="23" t="s">
        <v>512</v>
      </c>
      <c r="B108" s="18" t="s">
        <v>410</v>
      </c>
      <c r="C108" s="27" t="s">
        <v>489</v>
      </c>
      <c r="H108" s="1">
        <v>90</v>
      </c>
    </row>
    <row r="109" spans="1:8" ht="15" x14ac:dyDescent="0.15">
      <c r="A109" s="23" t="s">
        <v>513</v>
      </c>
      <c r="B109" s="18" t="s">
        <v>410</v>
      </c>
      <c r="C109" s="27" t="s">
        <v>490</v>
      </c>
      <c r="H109" s="1">
        <v>90</v>
      </c>
    </row>
    <row r="110" spans="1:8" ht="15" x14ac:dyDescent="0.15">
      <c r="A110" s="23" t="s">
        <v>514</v>
      </c>
      <c r="B110" s="18" t="s">
        <v>410</v>
      </c>
      <c r="C110" s="27" t="s">
        <v>491</v>
      </c>
      <c r="H110" s="1">
        <v>90</v>
      </c>
    </row>
    <row r="111" spans="1:8" ht="15" x14ac:dyDescent="0.15">
      <c r="A111" s="24" t="s">
        <v>492</v>
      </c>
      <c r="B111" s="18" t="s">
        <v>410</v>
      </c>
      <c r="C111" s="2" t="s">
        <v>493</v>
      </c>
      <c r="H111" s="1">
        <v>60</v>
      </c>
    </row>
    <row r="112" spans="1:8" ht="15" x14ac:dyDescent="0.15">
      <c r="A112" s="24" t="s">
        <v>515</v>
      </c>
      <c r="B112" s="18" t="s">
        <v>410</v>
      </c>
      <c r="C112" s="2" t="s">
        <v>516</v>
      </c>
      <c r="H112" s="1">
        <v>90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22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391</v>
      </c>
    </row>
    <row r="39" spans="1:1" ht="15" x14ac:dyDescent="0.15">
      <c r="A39" s="1" t="s">
        <v>394</v>
      </c>
    </row>
    <row r="40" spans="1:1" ht="15" x14ac:dyDescent="0.15">
      <c r="A40" s="1" t="s">
        <v>392</v>
      </c>
    </row>
    <row r="41" spans="1:1" ht="15" x14ac:dyDescent="0.15">
      <c r="A41" s="1" t="s">
        <v>395</v>
      </c>
    </row>
    <row r="42" spans="1:1" ht="15" x14ac:dyDescent="0.15">
      <c r="A42" s="1" t="s">
        <v>393</v>
      </c>
    </row>
    <row r="43" spans="1:1" ht="15" x14ac:dyDescent="0.15">
      <c r="A43" s="1" t="s">
        <v>396</v>
      </c>
    </row>
    <row r="44" spans="1:1" ht="15" x14ac:dyDescent="0.15">
      <c r="A44" s="1" t="s">
        <v>399</v>
      </c>
    </row>
    <row r="45" spans="1:1" ht="15" x14ac:dyDescent="0.15">
      <c r="A45" s="1" t="s">
        <v>400</v>
      </c>
    </row>
    <row r="46" spans="1:1" ht="15" x14ac:dyDescent="0.15">
      <c r="A46" s="1" t="s">
        <v>401</v>
      </c>
    </row>
    <row r="47" spans="1:1" ht="15" x14ac:dyDescent="0.15">
      <c r="A47" s="1" t="s">
        <v>402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79" workbookViewId="0">
      <selection activeCell="J110" sqref="J110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412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411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1.9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1.4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1.4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1.7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1.4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1.5999999999999999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1.4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1.2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1.7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1.7999999999999998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1.7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1.4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1.4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1.4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1.0999999999999999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1.0999999999999999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1.4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1.4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1.0999999999999999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2.1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2.1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1.7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1.7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1.7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2.1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1.7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2.1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2.1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1.7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1.7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1.7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1.9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1.7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1.7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1.4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1.7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1.2999999999999998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1.7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1.4</v>
      </c>
      <c r="E84" s="9">
        <v>20</v>
      </c>
      <c r="F84" s="9">
        <v>5</v>
      </c>
    </row>
    <row r="85" spans="1:7" ht="15" x14ac:dyDescent="0.15">
      <c r="A85" s="8" t="s">
        <v>403</v>
      </c>
      <c r="B85" s="12" t="s">
        <v>406</v>
      </c>
      <c r="C85" s="7"/>
      <c r="D85" s="7"/>
      <c r="E85" s="9"/>
      <c r="F85" s="9"/>
      <c r="G85" t="s">
        <v>414</v>
      </c>
    </row>
    <row r="86" spans="1:7" ht="15" x14ac:dyDescent="0.15">
      <c r="A86" s="8" t="s">
        <v>405</v>
      </c>
      <c r="B86" s="12" t="s">
        <v>407</v>
      </c>
      <c r="C86" s="7"/>
      <c r="D86" s="7"/>
      <c r="E86" s="9"/>
      <c r="F86" s="9"/>
      <c r="G86" t="s">
        <v>415</v>
      </c>
    </row>
    <row r="87" spans="1:7" ht="15" x14ac:dyDescent="0.15">
      <c r="A87" s="8" t="s">
        <v>408</v>
      </c>
      <c r="B87" s="12" t="s">
        <v>409</v>
      </c>
      <c r="G87" t="s">
        <v>413</v>
      </c>
    </row>
    <row r="88" spans="1:7" ht="15" x14ac:dyDescent="0.15">
      <c r="A88" s="8" t="s">
        <v>416</v>
      </c>
      <c r="B88" s="12" t="s">
        <v>443</v>
      </c>
    </row>
    <row r="89" spans="1:7" ht="15" x14ac:dyDescent="0.15">
      <c r="A89" s="19" t="s">
        <v>419</v>
      </c>
      <c r="B89" s="12" t="s">
        <v>444</v>
      </c>
    </row>
    <row r="90" spans="1:7" ht="15" x14ac:dyDescent="0.15">
      <c r="A90" s="8" t="s">
        <v>421</v>
      </c>
      <c r="B90" s="12" t="s">
        <v>445</v>
      </c>
    </row>
    <row r="91" spans="1:7" ht="15" x14ac:dyDescent="0.15">
      <c r="A91" s="20" t="s">
        <v>426</v>
      </c>
      <c r="B91" s="12" t="s">
        <v>446</v>
      </c>
    </row>
    <row r="92" spans="1:7" ht="15" x14ac:dyDescent="0.15">
      <c r="A92" s="8" t="s">
        <v>423</v>
      </c>
      <c r="B92" s="12" t="s">
        <v>447</v>
      </c>
      <c r="G92" t="s">
        <v>456</v>
      </c>
    </row>
    <row r="93" spans="1:7" ht="15" x14ac:dyDescent="0.15">
      <c r="A93" s="20" t="s">
        <v>425</v>
      </c>
      <c r="B93" s="12" t="s">
        <v>448</v>
      </c>
    </row>
    <row r="94" spans="1:7" ht="15" x14ac:dyDescent="0.15">
      <c r="A94" s="20" t="s">
        <v>427</v>
      </c>
      <c r="B94" s="12" t="s">
        <v>449</v>
      </c>
    </row>
    <row r="95" spans="1:7" ht="15" x14ac:dyDescent="0.15">
      <c r="A95" s="20" t="s">
        <v>428</v>
      </c>
      <c r="B95" s="12" t="s">
        <v>450</v>
      </c>
    </row>
    <row r="96" spans="1:7" ht="15" x14ac:dyDescent="0.15">
      <c r="A96" s="20" t="s">
        <v>429</v>
      </c>
      <c r="B96" s="12" t="s">
        <v>451</v>
      </c>
      <c r="G96" t="s">
        <v>457</v>
      </c>
    </row>
    <row r="97" spans="1:7" ht="15" x14ac:dyDescent="0.15">
      <c r="A97" s="20" t="s">
        <v>430</v>
      </c>
      <c r="B97" s="12" t="s">
        <v>452</v>
      </c>
      <c r="G97" t="s">
        <v>458</v>
      </c>
    </row>
    <row r="98" spans="1:7" ht="15" x14ac:dyDescent="0.15">
      <c r="A98" s="20" t="s">
        <v>431</v>
      </c>
      <c r="B98" s="12" t="s">
        <v>453</v>
      </c>
    </row>
    <row r="99" spans="1:7" ht="15" x14ac:dyDescent="0.15">
      <c r="A99" s="20" t="s">
        <v>432</v>
      </c>
      <c r="B99" s="12" t="s">
        <v>454</v>
      </c>
    </row>
    <row r="100" spans="1:7" ht="15" x14ac:dyDescent="0.15">
      <c r="A100" s="20" t="s">
        <v>433</v>
      </c>
      <c r="B100" s="12" t="s">
        <v>455</v>
      </c>
      <c r="G100" t="s">
        <v>459</v>
      </c>
    </row>
    <row r="101" spans="1:7" ht="15" x14ac:dyDescent="0.15">
      <c r="A101" s="23" t="s">
        <v>504</v>
      </c>
      <c r="B101" s="12" t="s">
        <v>494</v>
      </c>
      <c r="C101" s="7" t="s">
        <v>310</v>
      </c>
      <c r="D101">
        <v>2.4</v>
      </c>
      <c r="E101">
        <v>1</v>
      </c>
      <c r="F101">
        <v>1</v>
      </c>
    </row>
    <row r="102" spans="1:7" ht="15" x14ac:dyDescent="0.15">
      <c r="A102" s="23" t="s">
        <v>506</v>
      </c>
      <c r="B102" s="12" t="s">
        <v>505</v>
      </c>
      <c r="C102" s="7" t="s">
        <v>310</v>
      </c>
      <c r="D102">
        <v>2.4</v>
      </c>
      <c r="E102">
        <v>1</v>
      </c>
      <c r="F102">
        <v>1</v>
      </c>
    </row>
    <row r="103" spans="1:7" ht="15" x14ac:dyDescent="0.15">
      <c r="A103" s="23" t="s">
        <v>507</v>
      </c>
      <c r="B103" s="12" t="s">
        <v>495</v>
      </c>
      <c r="C103" s="7" t="s">
        <v>310</v>
      </c>
      <c r="D103">
        <v>2.1999999999999997</v>
      </c>
      <c r="E103">
        <v>1</v>
      </c>
      <c r="F103">
        <v>1</v>
      </c>
    </row>
    <row r="104" spans="1:7" ht="15" x14ac:dyDescent="0.15">
      <c r="A104" s="23" t="s">
        <v>508</v>
      </c>
      <c r="B104" s="12" t="s">
        <v>496</v>
      </c>
      <c r="C104" s="7" t="s">
        <v>310</v>
      </c>
      <c r="D104">
        <v>2.1999999999999997</v>
      </c>
      <c r="E104">
        <v>1</v>
      </c>
      <c r="F104">
        <v>1</v>
      </c>
    </row>
    <row r="105" spans="1:7" ht="15" x14ac:dyDescent="0.15">
      <c r="A105" s="23" t="s">
        <v>509</v>
      </c>
      <c r="B105" s="12" t="s">
        <v>497</v>
      </c>
      <c r="C105" s="7" t="s">
        <v>310</v>
      </c>
      <c r="D105">
        <v>2.9</v>
      </c>
      <c r="E105">
        <v>1</v>
      </c>
      <c r="F105">
        <v>1</v>
      </c>
    </row>
    <row r="106" spans="1:7" ht="15" x14ac:dyDescent="0.15">
      <c r="A106" s="23" t="s">
        <v>510</v>
      </c>
      <c r="B106" s="12" t="s">
        <v>498</v>
      </c>
      <c r="C106" s="7" t="s">
        <v>310</v>
      </c>
      <c r="D106">
        <v>5</v>
      </c>
      <c r="E106">
        <v>1</v>
      </c>
      <c r="F106">
        <v>1</v>
      </c>
    </row>
    <row r="107" spans="1:7" ht="15" x14ac:dyDescent="0.15">
      <c r="A107" s="23" t="s">
        <v>511</v>
      </c>
      <c r="B107" s="12" t="s">
        <v>499</v>
      </c>
      <c r="C107" s="7" t="s">
        <v>310</v>
      </c>
      <c r="D107">
        <v>1.9</v>
      </c>
      <c r="E107">
        <v>1</v>
      </c>
      <c r="F107">
        <v>1</v>
      </c>
    </row>
    <row r="108" spans="1:7" ht="15" x14ac:dyDescent="0.15">
      <c r="A108" s="23" t="s">
        <v>512</v>
      </c>
      <c r="B108" s="12" t="s">
        <v>500</v>
      </c>
      <c r="C108" s="7" t="s">
        <v>310</v>
      </c>
      <c r="D108">
        <v>2.4</v>
      </c>
      <c r="E108">
        <v>1</v>
      </c>
      <c r="F108">
        <v>1</v>
      </c>
    </row>
    <row r="109" spans="1:7" ht="15" x14ac:dyDescent="0.15">
      <c r="A109" s="23" t="s">
        <v>513</v>
      </c>
      <c r="B109" s="12" t="s">
        <v>501</v>
      </c>
      <c r="C109" s="7" t="s">
        <v>310</v>
      </c>
      <c r="D109">
        <v>2.1999999999999997</v>
      </c>
      <c r="E109">
        <v>1</v>
      </c>
      <c r="F109">
        <v>1</v>
      </c>
    </row>
    <row r="110" spans="1:7" ht="15" x14ac:dyDescent="0.15">
      <c r="A110" s="23" t="s">
        <v>514</v>
      </c>
      <c r="B110" s="12" t="s">
        <v>502</v>
      </c>
      <c r="C110" s="7" t="s">
        <v>310</v>
      </c>
      <c r="D110">
        <v>1.9</v>
      </c>
      <c r="E110">
        <v>1</v>
      </c>
      <c r="F110">
        <v>1</v>
      </c>
    </row>
    <row r="111" spans="1:7" ht="15" x14ac:dyDescent="0.15">
      <c r="A111" s="24" t="s">
        <v>492</v>
      </c>
      <c r="B111" s="12" t="s">
        <v>503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opLeftCell="A55" workbookViewId="0">
      <selection activeCell="O4" sqref="O4:O77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388</v>
      </c>
      <c r="C1" s="33"/>
      <c r="D1" s="33"/>
      <c r="G1" s="13" t="s">
        <v>389</v>
      </c>
      <c r="H1" s="13" t="s">
        <v>389</v>
      </c>
      <c r="I1" s="13" t="s">
        <v>389</v>
      </c>
      <c r="J1" s="13" t="s">
        <v>389</v>
      </c>
      <c r="K1" s="13" t="s">
        <v>389</v>
      </c>
      <c r="L1" s="13" t="s">
        <v>389</v>
      </c>
      <c r="M1" s="13" t="s">
        <v>389</v>
      </c>
      <c r="N1" s="13" t="s">
        <v>389</v>
      </c>
      <c r="O1" s="13" t="s">
        <v>389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385</v>
      </c>
      <c r="E2" s="13" t="s">
        <v>386</v>
      </c>
      <c r="F2" s="34" t="s">
        <v>387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390</v>
      </c>
      <c r="P3" s="8" t="s">
        <v>467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15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125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f>D4+0.5</f>
        <v>15.5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125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f t="shared" ref="D6:D63" si="3">D5+0.5</f>
        <v>16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125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f t="shared" si="3"/>
        <v>16.5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125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f t="shared" si="3"/>
        <v>17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125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f t="shared" si="3"/>
        <v>17.5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125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f t="shared" si="3"/>
        <v>18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125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f t="shared" si="3"/>
        <v>18.5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125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f t="shared" si="3"/>
        <v>19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125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f t="shared" si="3"/>
        <v>19.5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125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f t="shared" si="3"/>
        <v>20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125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f t="shared" si="3"/>
        <v>20.5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125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f t="shared" si="3"/>
        <v>21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125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f t="shared" si="3"/>
        <v>21.5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125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f t="shared" si="3"/>
        <v>22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125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f t="shared" si="3"/>
        <v>22.5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125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f t="shared" si="3"/>
        <v>23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125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f t="shared" si="3"/>
        <v>23.5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125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f t="shared" si="3"/>
        <v>24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125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f t="shared" si="3"/>
        <v>24.5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125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f t="shared" si="3"/>
        <v>25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125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f t="shared" si="3"/>
        <v>25.5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125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f t="shared" si="3"/>
        <v>26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125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f t="shared" si="3"/>
        <v>26.5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125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f t="shared" si="3"/>
        <v>27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125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f t="shared" si="3"/>
        <v>27.5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125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f t="shared" si="3"/>
        <v>28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125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f t="shared" si="3"/>
        <v>28.5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125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f t="shared" si="3"/>
        <v>29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125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f t="shared" si="3"/>
        <v>29.5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125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f t="shared" si="3"/>
        <v>30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125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f t="shared" si="3"/>
        <v>30.5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125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f t="shared" si="3"/>
        <v>31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125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f t="shared" si="3"/>
        <v>31.5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125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f t="shared" si="3"/>
        <v>32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125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f t="shared" si="3"/>
        <v>32.5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125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f t="shared" si="3"/>
        <v>33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125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f t="shared" si="3"/>
        <v>33.5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125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f t="shared" si="3"/>
        <v>34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125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f t="shared" si="3"/>
        <v>34.5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125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f t="shared" si="3"/>
        <v>35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125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f t="shared" si="3"/>
        <v>35.5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125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f t="shared" si="3"/>
        <v>36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125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f t="shared" si="3"/>
        <v>36.5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125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f t="shared" si="3"/>
        <v>37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125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f t="shared" si="3"/>
        <v>37.5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125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f t="shared" si="3"/>
        <v>38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125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f t="shared" si="3"/>
        <v>38.5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125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f t="shared" si="3"/>
        <v>39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125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f t="shared" si="3"/>
        <v>39.5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125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f t="shared" si="3"/>
        <v>40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125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f t="shared" si="3"/>
        <v>40.5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125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f t="shared" si="3"/>
        <v>41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125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f t="shared" si="3"/>
        <v>41.5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125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f t="shared" si="3"/>
        <v>42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125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f t="shared" si="3"/>
        <v>42.5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125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f t="shared" si="3"/>
        <v>43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125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f t="shared" si="3"/>
        <v>43.5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125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f t="shared" si="3"/>
        <v>44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125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f t="shared" si="3"/>
        <v>44.5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125</v>
      </c>
      <c r="P63" s="32">
        <v>60</v>
      </c>
    </row>
    <row r="64" spans="1:16" ht="15" x14ac:dyDescent="0.15">
      <c r="A64" s="23" t="s">
        <v>468</v>
      </c>
      <c r="B64" s="23" t="s">
        <v>468</v>
      </c>
      <c r="C64" s="30">
        <v>10</v>
      </c>
      <c r="D64" s="29">
        <f>D13*40</f>
        <v>780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125</v>
      </c>
      <c r="P64" s="22">
        <v>20</v>
      </c>
    </row>
    <row r="65" spans="1:16" ht="15" x14ac:dyDescent="0.15">
      <c r="A65" s="23" t="s">
        <v>469</v>
      </c>
      <c r="B65" s="23" t="s">
        <v>469</v>
      </c>
      <c r="C65" s="30">
        <v>20</v>
      </c>
      <c r="D65" s="29">
        <f>D23*40</f>
        <v>980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125</v>
      </c>
      <c r="P65" s="22">
        <v>40</v>
      </c>
    </row>
    <row r="66" spans="1:16" ht="15" x14ac:dyDescent="0.15">
      <c r="A66" s="23" t="s">
        <v>470</v>
      </c>
      <c r="B66" s="23" t="s">
        <v>470</v>
      </c>
      <c r="C66" s="30">
        <v>30</v>
      </c>
      <c r="D66" s="29">
        <f>D33*40</f>
        <v>1180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125</v>
      </c>
      <c r="P66" s="22">
        <v>60</v>
      </c>
    </row>
    <row r="67" spans="1:16" ht="15" x14ac:dyDescent="0.15">
      <c r="A67" s="23" t="s">
        <v>471</v>
      </c>
      <c r="B67" s="23" t="s">
        <v>471</v>
      </c>
      <c r="C67" s="30">
        <v>40</v>
      </c>
      <c r="D67" s="29">
        <f t="shared" ref="D67:D69" si="12">D66+267</f>
        <v>1447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125</v>
      </c>
      <c r="P67" s="22">
        <v>80</v>
      </c>
    </row>
    <row r="68" spans="1:16" ht="15" x14ac:dyDescent="0.15">
      <c r="A68" s="23" t="s">
        <v>472</v>
      </c>
      <c r="B68" s="23" t="s">
        <v>472</v>
      </c>
      <c r="C68" s="30">
        <v>50</v>
      </c>
      <c r="D68" s="29">
        <f t="shared" si="12"/>
        <v>1714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125</v>
      </c>
      <c r="P68" s="22">
        <v>100</v>
      </c>
    </row>
    <row r="69" spans="1:16" ht="15" x14ac:dyDescent="0.15">
      <c r="A69" s="23" t="s">
        <v>473</v>
      </c>
      <c r="B69" s="23" t="s">
        <v>473</v>
      </c>
      <c r="C69" s="30">
        <v>60</v>
      </c>
      <c r="D69" s="29">
        <f t="shared" si="12"/>
        <v>1981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125</v>
      </c>
      <c r="P69" s="22">
        <v>120</v>
      </c>
    </row>
    <row r="70" spans="1:16" x14ac:dyDescent="0.15">
      <c r="A70" s="24" t="s">
        <v>474</v>
      </c>
      <c r="B70" s="24" t="s">
        <v>474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7">
        <v>125</v>
      </c>
      <c r="P70" s="22">
        <v>10</v>
      </c>
    </row>
    <row r="71" spans="1:16" x14ac:dyDescent="0.15">
      <c r="A71" s="24" t="s">
        <v>475</v>
      </c>
      <c r="B71" s="24" t="s">
        <v>475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7">
        <v>125</v>
      </c>
      <c r="P71" s="22">
        <v>20</v>
      </c>
    </row>
    <row r="72" spans="1:16" x14ac:dyDescent="0.15">
      <c r="A72" s="24" t="s">
        <v>476</v>
      </c>
      <c r="B72" s="24" t="s">
        <v>476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7">
        <v>125</v>
      </c>
      <c r="P72" s="22">
        <v>30</v>
      </c>
    </row>
    <row r="73" spans="1:16" x14ac:dyDescent="0.15">
      <c r="A73" s="24" t="s">
        <v>477</v>
      </c>
      <c r="B73" s="24" t="s">
        <v>477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7">
        <v>125</v>
      </c>
      <c r="P73" s="22">
        <v>40</v>
      </c>
    </row>
    <row r="74" spans="1:16" x14ac:dyDescent="0.15">
      <c r="A74" s="24" t="s">
        <v>478</v>
      </c>
      <c r="B74" s="24" t="s">
        <v>478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7">
        <v>125</v>
      </c>
      <c r="P74" s="22">
        <v>50</v>
      </c>
    </row>
    <row r="75" spans="1:16" x14ac:dyDescent="0.15">
      <c r="A75" s="24" t="s">
        <v>479</v>
      </c>
      <c r="B75" s="24" t="s">
        <v>479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7">
        <v>125</v>
      </c>
      <c r="P75" s="22">
        <v>60</v>
      </c>
    </row>
    <row r="76" spans="1:16" ht="15" x14ac:dyDescent="0.15">
      <c r="A76" s="23" t="s">
        <v>466</v>
      </c>
      <c r="B76" s="23" t="s">
        <v>466</v>
      </c>
      <c r="C76" s="29">
        <v>61</v>
      </c>
      <c r="D76" s="29">
        <f>D69</f>
        <v>1981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125</v>
      </c>
      <c r="P76" s="32">
        <v>180</v>
      </c>
    </row>
    <row r="77" spans="1:16" x14ac:dyDescent="0.15">
      <c r="A77" s="24" t="s">
        <v>515</v>
      </c>
      <c r="B77" s="24" t="s">
        <v>515</v>
      </c>
      <c r="C77" s="30">
        <v>0</v>
      </c>
      <c r="D77" s="29">
        <f t="shared" ref="D77" si="21">D76+267</f>
        <v>2248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125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2019-04-12T12:29:33Z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